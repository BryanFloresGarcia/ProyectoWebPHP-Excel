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royectoWeb_PHP\"/>
    </mc:Choice>
  </mc:AlternateContent>
  <xr:revisionPtr revIDLastSave="0" documentId="13_ncr:1_{A84F99F4-CF31-4F24-A873-619E81662A95}" xr6:coauthVersionLast="47" xr6:coauthVersionMax="47" xr10:uidLastSave="{00000000-0000-0000-0000-000000000000}"/>
  <bookViews>
    <workbookView xWindow="3555" yWindow="3975" windowWidth="28800" windowHeight="15345" tabRatio="455" xr2:uid="{00000000-000D-0000-FFFF-FFFF00000000}"/>
  </bookViews>
  <sheets>
    <sheet name="Hoja1" sheetId="6" r:id="rId1"/>
    <sheet name="Plantilla" sheetId="10" r:id="rId2"/>
  </sheets>
  <functionGroups builtInGroupCount="19"/>
  <externalReferences>
    <externalReference r:id="rId3"/>
  </externalReferences>
  <definedNames>
    <definedName name="conjunto">#REF!</definedName>
    <definedName name="DATOS">[1]COMPRAS!$A$14:$X$164</definedName>
    <definedName name="registr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0" l="1"/>
  <c r="L37" i="10"/>
  <c r="H7" i="10"/>
  <c r="H6" i="10"/>
  <c r="J3" i="10"/>
  <c r="J2" i="10"/>
  <c r="N1" i="10"/>
</calcChain>
</file>

<file path=xl/sharedStrings.xml><?xml version="1.0" encoding="utf-8"?>
<sst xmlns="http://schemas.openxmlformats.org/spreadsheetml/2006/main" count="260" uniqueCount="159">
  <si>
    <t>FOTO_Comprobante</t>
  </si>
  <si>
    <t>Caja_Numero</t>
  </si>
  <si>
    <t>Nombre</t>
  </si>
  <si>
    <t>Project_Desc</t>
  </si>
  <si>
    <t>Fecha_compra</t>
  </si>
  <si>
    <t>Tipo_Comprobante</t>
  </si>
  <si>
    <t>RUC_Numero</t>
  </si>
  <si>
    <t>Establecimiento_Proveedor</t>
  </si>
  <si>
    <t>Serie_comprobante</t>
  </si>
  <si>
    <t>Numero_comprobante</t>
  </si>
  <si>
    <t>Descripcion_compra</t>
  </si>
  <si>
    <t>Lugar_compra</t>
  </si>
  <si>
    <t>Rubro_compra</t>
  </si>
  <si>
    <t>Moneda</t>
  </si>
  <si>
    <t>Precio_final</t>
  </si>
  <si>
    <t>F</t>
  </si>
  <si>
    <t>E001</t>
  </si>
  <si>
    <t>soles</t>
  </si>
  <si>
    <t>Alimentacion</t>
  </si>
  <si>
    <t>Movilidad</t>
  </si>
  <si>
    <t>F001</t>
  </si>
  <si>
    <t>Combustible</t>
  </si>
  <si>
    <t>Proyecto</t>
  </si>
  <si>
    <t>Fecha</t>
  </si>
  <si>
    <t>Peaje</t>
  </si>
  <si>
    <t>Tabla:</t>
  </si>
  <si>
    <t>Hospedaje</t>
  </si>
  <si>
    <t>Ubicacion_establecimiento</t>
  </si>
  <si>
    <t>FACTURA</t>
  </si>
  <si>
    <t>Eber Chilcahue Huamani</t>
  </si>
  <si>
    <t>ESTTIA S.A</t>
  </si>
  <si>
    <t>AREQUIPA</t>
  </si>
  <si>
    <t>RUTAS DE LIMA SAC</t>
  </si>
  <si>
    <t>LIMA</t>
  </si>
  <si>
    <t>CONCESIONARIA VIAL DEL PERU S.A.</t>
  </si>
  <si>
    <t>B</t>
  </si>
  <si>
    <t>HUAYTARA</t>
  </si>
  <si>
    <t>Otros</t>
  </si>
  <si>
    <t>ABASTECIMIENTO de combustible ala UND. BJH- 721</t>
  </si>
  <si>
    <t>FF01</t>
  </si>
  <si>
    <t>FR01</t>
  </si>
  <si>
    <t>Ayacucho</t>
  </si>
  <si>
    <t>AYACUCHO</t>
  </si>
  <si>
    <t>dm hoteles Ayacucho</t>
  </si>
  <si>
    <t>F017</t>
  </si>
  <si>
    <t>JAARSOM E.I.R.L.</t>
  </si>
  <si>
    <t>FF03</t>
  </si>
  <si>
    <t>MULTISERVICIOS "LARITA"</t>
  </si>
  <si>
    <t>VÍA LIBERTADORES- RUMICHACA - AYACUCHO</t>
  </si>
  <si>
    <t>R</t>
  </si>
  <si>
    <t>-</t>
  </si>
  <si>
    <t>PAGO DE ALMUERZO. ( Raúl Andrade y Eber Chilcahue)</t>
  </si>
  <si>
    <t>Saldo por devolver (S/) =</t>
  </si>
  <si>
    <t>Saldo de la caja anterior (S/) =</t>
  </si>
  <si>
    <t>Monto Entregado por relevo (S/) =</t>
  </si>
  <si>
    <t>Gerencia / Jefatura inmediata superior</t>
  </si>
  <si>
    <t>Responsable</t>
  </si>
  <si>
    <t>Monto Recibido del relevo (S/) =</t>
  </si>
  <si>
    <t>Monto Recibido de GEOSAC (S/) =</t>
  </si>
  <si>
    <t>Monto de GASTOS (S/) =</t>
  </si>
  <si>
    <t>Monto Total</t>
  </si>
  <si>
    <t>Lugar</t>
  </si>
  <si>
    <t>Tipo de gasto</t>
  </si>
  <si>
    <t>Detalle del gasto</t>
  </si>
  <si>
    <t>Proveedor</t>
  </si>
  <si>
    <t>RUC</t>
  </si>
  <si>
    <t>Tipo Doc</t>
  </si>
  <si>
    <t>Numero del Doc</t>
  </si>
  <si>
    <t>Fecha de emision</t>
  </si>
  <si>
    <t>Nº</t>
  </si>
  <si>
    <t>Centro de Costos:</t>
  </si>
  <si>
    <t>N° de Req.(GAE-F-ADM-006)</t>
  </si>
  <si>
    <t>Fecha de envío:</t>
  </si>
  <si>
    <t xml:space="preserve">Proyecto (P.O.): </t>
  </si>
  <si>
    <t>Periodo</t>
  </si>
  <si>
    <t xml:space="preserve">Realizado por: </t>
  </si>
  <si>
    <t>VERSIÓN: 06</t>
  </si>
  <si>
    <t>GAE-F-ADM-001</t>
  </si>
  <si>
    <t>FECHA DE APROBACION</t>
  </si>
  <si>
    <t>CÓDIGO</t>
  </si>
  <si>
    <t>REPORTE DE GASTOS</t>
  </si>
  <si>
    <t>Nº Reporte/Archivo:</t>
  </si>
  <si>
    <t>Total general</t>
  </si>
  <si>
    <t>Total De Comprobantes</t>
  </si>
  <si>
    <t>WOwFMJcTeiufSI7TFtQiC2.FOTO_Comprobante.171425.jpg</t>
  </si>
  <si>
    <t>DCA007-2024</t>
  </si>
  <si>
    <t>VAQUERITO</t>
  </si>
  <si>
    <t>B001</t>
  </si>
  <si>
    <t>Pago de DOS ALMUERZOS. Raúl Andrade y Eber Chilcahue</t>
  </si>
  <si>
    <t>Vía Libertadores - AYACUCHO</t>
  </si>
  <si>
    <t>B001-470</t>
  </si>
  <si>
    <t>YUIIfDPjgQGiPV27aVizRf.FOTO_Comprobante.015139.jpg</t>
  </si>
  <si>
    <t>VIAVIA CAFE AYACUCHO SAC</t>
  </si>
  <si>
    <t>PAGO DE ALMUERZO . (Raúl Andrade ,Eber Chilcahue y Víctor Luque)</t>
  </si>
  <si>
    <t>PLAZA DE ARMÁS AYACUCHO</t>
  </si>
  <si>
    <t>FR01-00078222</t>
  </si>
  <si>
    <t>YWqczNGb9addtGRImfeUKG.FOTO_Comprobante.021325.jpg</t>
  </si>
  <si>
    <t>DM HOTELES</t>
  </si>
  <si>
    <t>PAGO por CENA . (Raúl Andrade y Eber Chilcahue)</t>
  </si>
  <si>
    <t>F017-00020442</t>
  </si>
  <si>
    <t>1O8qnuSsaYqJAL3B1gfwRK.FOTO_Comprobante.020854.jpg</t>
  </si>
  <si>
    <t>EMPALIPERU E.I.R.L.</t>
  </si>
  <si>
    <t>Compra de AGUAS y GASEOSAS</t>
  </si>
  <si>
    <t>FF01-493</t>
  </si>
  <si>
    <t>NgGVfZj5F3TflEQzNRoc2D.FOTO_Comprobante.021758.jpg</t>
  </si>
  <si>
    <t>Vía LIBERTADORES- RUMICHACA -PARAS - CANGALLO</t>
  </si>
  <si>
    <t>FF03-383</t>
  </si>
  <si>
    <t>9qG9XyJOhVSvSF1GMyeO1Q.FOTO_Comprobante.022328.jpg</t>
  </si>
  <si>
    <t>Pago por ALOJAMIENTO DEL 28 al 02 habitación simple</t>
  </si>
  <si>
    <t>001-0000191</t>
  </si>
  <si>
    <t>oobF8JFZCwsYPiRLQc3mDh.FOTO_Comprobante.022656.jpg</t>
  </si>
  <si>
    <t>"CAMPOMAR DELICIAS"</t>
  </si>
  <si>
    <t>PAGO por CENA. ( Raúl Andrade y Eber Chilcahue)</t>
  </si>
  <si>
    <t>001-003976</t>
  </si>
  <si>
    <t>cd2E5UVJUmF1xyGO5SsWqO.FOTO_Comprobante.155135.jpg</t>
  </si>
  <si>
    <t>DP SOLUCIONES S.A.C.</t>
  </si>
  <si>
    <t>F010</t>
  </si>
  <si>
    <t>PANAMERICANA SUR MALA - LIMA - CAÑETE</t>
  </si>
  <si>
    <t>F010-00027126</t>
  </si>
  <si>
    <t>p6Ta8TuMgrjQKesUa1Tmbf.FOTO_Comprobante.155700.jpg</t>
  </si>
  <si>
    <t>F204</t>
  </si>
  <si>
    <t>PAGO POR PEAJE</t>
  </si>
  <si>
    <t>PANAMERICANA sur ICA - CHINCHA</t>
  </si>
  <si>
    <t>F204-02482932</t>
  </si>
  <si>
    <t>AoKOGnTaHsPzlZYU6nfJnH.FOTO_Comprobante.160203.jpg</t>
  </si>
  <si>
    <t>F605</t>
  </si>
  <si>
    <t>PANAMERICANA SUR PUNTA  NEGRA</t>
  </si>
  <si>
    <t>F605-06-01334154</t>
  </si>
  <si>
    <t>K4gdlkD42B5xJPUA9TN1rB.FOTO_Comprobante.160758.jpg</t>
  </si>
  <si>
    <t>SUR GOURMET S.A.C.</t>
  </si>
  <si>
    <t>F014</t>
  </si>
  <si>
    <t>PAGO POR DOS EMPANADAS,( Eber, Óscar)</t>
  </si>
  <si>
    <t>ELMER FAUSET S/N AEROPUERTO - CALLAO</t>
  </si>
  <si>
    <t>F014-26984</t>
  </si>
  <si>
    <t>cyhHKDhakcyNA6Df44wMHU.FOTO_Comprobante.222042.jpg</t>
  </si>
  <si>
    <t>PAGO DE TRASLADO DE FUNCIONARIO de la DREM al PROYECTO ACCOPATA - LICAPA</t>
  </si>
  <si>
    <t>xbuTTHIomSjEac87H9PvM0.FOTO_Comprobante.222418.jpg</t>
  </si>
  <si>
    <t>Inversiones Huaytará Plazapi SAC</t>
  </si>
  <si>
    <t>PAGO POR ALOJAMIENTO</t>
  </si>
  <si>
    <t>F001-2985</t>
  </si>
  <si>
    <t>qYmsmOpE9BK31TIoQiOKsm.FOTO_Comprobante.223326.jpg</t>
  </si>
  <si>
    <t>D LEON DE JUDA E.I.R.L.</t>
  </si>
  <si>
    <t>PAGO POR LAVADO COMPLETO de la UND. BJH- 721</t>
  </si>
  <si>
    <t>E001-2990</t>
  </si>
  <si>
    <t>k4qIQSfhuA1z2JRlyFwJw0.FOTO_Comprobante.223708.jpg</t>
  </si>
  <si>
    <t>SERVICIO DE TAXI DEL AEROPUERTO - CAYMA( Eber Chilcahue)</t>
  </si>
  <si>
    <t>E001-22333</t>
  </si>
  <si>
    <t>Monto Total Recibido</t>
  </si>
  <si>
    <t>Saldo restante</t>
  </si>
  <si>
    <t>PROYECTO</t>
  </si>
  <si>
    <t>f8OqA49x98vKJMlEXpUZ6I.FOTO_Comprobante.015731.jpg</t>
  </si>
  <si>
    <t>Pago por ALOJAMIENTO.(Eber Chilcahue)</t>
  </si>
  <si>
    <t>F017-00020436</t>
  </si>
  <si>
    <t>dCqkIyDC9y7bZZTgylgfNe.FOTO_Comprobante.020339.jpg</t>
  </si>
  <si>
    <t>PAGO POR ALOJAMIENTO. ( Raúl Andrade)</t>
  </si>
  <si>
    <t>F017-00020439</t>
  </si>
  <si>
    <t>N° FILA SIGUIENTE</t>
  </si>
  <si>
    <t>N°  REPORTE SIGUIENTE</t>
  </si>
  <si>
    <t>N° REGISTRO SIGUIENTE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</si>
</sst>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\'yy"/>
    <numFmt numFmtId="165" formatCode="dd\.mm\.yyyy"/>
    <numFmt numFmtId="166" formatCode="[$-C0A]dd\-mmm\-yy;@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 Light"/>
      <family val="1"/>
      <scheme val="major"/>
    </font>
    <font>
      <sz val="10"/>
      <name val="Calibri Light"/>
      <family val="1"/>
      <scheme val="major"/>
    </font>
    <font>
      <sz val="10"/>
      <color theme="0"/>
      <name val="Calibri Light"/>
      <family val="1"/>
      <scheme val="major"/>
    </font>
    <font>
      <sz val="9"/>
      <name val="Calibri Light"/>
      <family val="1"/>
      <scheme val="major"/>
    </font>
    <font>
      <sz val="8"/>
      <name val="Calibri"/>
      <family val="2"/>
    </font>
    <font>
      <sz val="8"/>
      <color indexed="8"/>
      <name val="Calibri"/>
      <family val="2"/>
    </font>
    <font>
      <b/>
      <sz val="10"/>
      <color theme="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</font>
    <font>
      <sz val="8"/>
      <name val="Arial"/>
      <family val="2"/>
    </font>
    <font>
      <sz val="8"/>
      <color rgb="FF000000"/>
      <name val="Arial"/>
      <family val="2"/>
    </font>
    <font>
      <b/>
      <sz val="14"/>
      <color indexed="8"/>
      <name val="Calibri"/>
      <family val="2"/>
    </font>
    <font>
      <sz val="10"/>
      <color indexed="8"/>
      <name val="Calibri"/>
      <family val="2"/>
    </font>
    <font>
      <sz val="10"/>
      <color rgb="FF000000"/>
      <name val="Arial"/>
      <family val="2"/>
    </font>
    <font>
      <b/>
      <sz val="8"/>
      <color indexed="8"/>
      <name val="Arial"/>
      <family val="2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theme="0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5">
    <xf numFmtId="0" fontId="0" fillId="0" borderId="0" xfId="0"/>
    <xf numFmtId="22" fontId="0" fillId="0" borderId="0" xfId="0" applyNumberFormat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22" fontId="4" fillId="0" borderId="0" xfId="0" applyNumberFormat="1" applyFont="1"/>
    <xf numFmtId="0" fontId="6" fillId="0" borderId="0" xfId="0" applyFont="1" applyAlignment="1">
      <alignment horizontal="center"/>
    </xf>
    <xf numFmtId="0" fontId="8" fillId="0" borderId="0" xfId="0" applyFont="1"/>
    <xf numFmtId="4" fontId="9" fillId="2" borderId="1" xfId="1" applyNumberFormat="1" applyFont="1" applyFill="1" applyBorder="1"/>
    <xf numFmtId="0" fontId="10" fillId="0" borderId="0" xfId="1" applyFont="1" applyAlignment="1">
      <alignment horizontal="right"/>
    </xf>
    <xf numFmtId="4" fontId="9" fillId="0" borderId="2" xfId="1" applyNumberFormat="1" applyFont="1" applyBorder="1"/>
    <xf numFmtId="0" fontId="11" fillId="0" borderId="0" xfId="1" applyFont="1" applyAlignment="1">
      <alignment horizontal="right"/>
    </xf>
    <xf numFmtId="0" fontId="0" fillId="0" borderId="3" xfId="0" applyBorder="1"/>
    <xf numFmtId="0" fontId="0" fillId="0" borderId="3" xfId="0" applyBorder="1" applyAlignment="1">
      <alignment horizontal="right" vertical="center"/>
    </xf>
    <xf numFmtId="4" fontId="12" fillId="0" borderId="0" xfId="0" applyNumberFormat="1" applyFont="1"/>
    <xf numFmtId="14" fontId="12" fillId="0" borderId="0" xfId="1" applyNumberFormat="1" applyFont="1" applyAlignment="1">
      <alignment horizontal="right"/>
    </xf>
    <xf numFmtId="2" fontId="13" fillId="0" borderId="4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65" fontId="15" fillId="3" borderId="6" xfId="0" applyNumberFormat="1" applyFont="1" applyFill="1" applyBorder="1" applyAlignment="1">
      <alignment horizontal="center" vertical="center" wrapText="1"/>
    </xf>
    <xf numFmtId="165" fontId="15" fillId="3" borderId="7" xfId="0" applyNumberFormat="1" applyFont="1" applyFill="1" applyBorder="1" applyAlignment="1">
      <alignment horizontal="center" vertical="center" wrapText="1"/>
    </xf>
    <xf numFmtId="49" fontId="15" fillId="3" borderId="7" xfId="0" applyNumberFormat="1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166" fontId="15" fillId="3" borderId="7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top" wrapText="1"/>
    </xf>
    <xf numFmtId="0" fontId="17" fillId="0" borderId="0" xfId="0" applyFont="1" applyAlignment="1">
      <alignment vertical="center"/>
    </xf>
    <xf numFmtId="0" fontId="17" fillId="0" borderId="8" xfId="0" applyFont="1" applyBorder="1" applyAlignment="1">
      <alignment vertical="center"/>
    </xf>
    <xf numFmtId="0" fontId="17" fillId="0" borderId="0" xfId="0" applyFont="1" applyAlignment="1">
      <alignment horizontal="left" vertical="center"/>
    </xf>
    <xf numFmtId="0" fontId="17" fillId="0" borderId="8" xfId="0" applyFont="1" applyBorder="1" applyAlignment="1">
      <alignment horizontal="left" vertical="center"/>
    </xf>
    <xf numFmtId="0" fontId="18" fillId="0" borderId="0" xfId="0" applyFont="1"/>
    <xf numFmtId="0" fontId="20" fillId="0" borderId="0" xfId="0" applyFont="1" applyAlignment="1">
      <alignment horizontal="right" vertical="center"/>
    </xf>
    <xf numFmtId="14" fontId="20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27" fillId="0" borderId="10" xfId="0" applyFont="1" applyBorder="1" applyAlignment="1">
      <alignment horizontal="center" vertical="center"/>
    </xf>
    <xf numFmtId="0" fontId="6" fillId="0" borderId="0" xfId="0" applyFont="1"/>
    <xf numFmtId="0" fontId="29" fillId="0" borderId="10" xfId="0" applyFont="1" applyBorder="1" applyAlignment="1">
      <alignment horizontal="center" vertical="center"/>
    </xf>
    <xf numFmtId="14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0" fontId="7" fillId="0" borderId="20" xfId="0" applyFont="1" applyBorder="1"/>
    <xf numFmtId="0" fontId="0" fillId="0" borderId="21" xfId="0" applyBorder="1"/>
    <xf numFmtId="0" fontId="7" fillId="5" borderId="22" xfId="0" applyFont="1" applyFill="1" applyBorder="1" applyAlignment="1">
      <alignment horizontal="center"/>
    </xf>
    <xf numFmtId="0" fontId="7" fillId="0" borderId="3" xfId="0" applyFont="1" applyBorder="1"/>
    <xf numFmtId="0" fontId="0" fillId="0" borderId="23" xfId="0" applyBorder="1"/>
    <xf numFmtId="2" fontId="7" fillId="5" borderId="19" xfId="0" applyNumberFormat="1" applyFont="1" applyFill="1" applyBorder="1" applyAlignment="1">
      <alignment horizontal="center"/>
    </xf>
    <xf numFmtId="0" fontId="7" fillId="0" borderId="0" xfId="0" applyFont="1"/>
    <xf numFmtId="2" fontId="7" fillId="5" borderId="24" xfId="0" applyNumberFormat="1" applyFont="1" applyFill="1" applyBorder="1" applyAlignment="1">
      <alignment horizontal="center"/>
    </xf>
    <xf numFmtId="0" fontId="0" fillId="0" borderId="25" xfId="0" applyBorder="1"/>
    <xf numFmtId="0" fontId="7" fillId="5" borderId="24" xfId="0" applyFont="1" applyFill="1" applyBorder="1" applyAlignment="1">
      <alignment horizontal="center"/>
    </xf>
    <xf numFmtId="14" fontId="4" fillId="4" borderId="10" xfId="0" applyNumberFormat="1" applyFont="1" applyFill="1" applyBorder="1" applyAlignment="1">
      <alignment horizontal="center"/>
    </xf>
    <xf numFmtId="14" fontId="4" fillId="4" borderId="2" xfId="0" applyNumberFormat="1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0" fillId="4" borderId="1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9" fillId="4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5" fillId="0" borderId="18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164" fontId="26" fillId="0" borderId="10" xfId="0" applyNumberFormat="1" applyFont="1" applyBorder="1" applyAlignment="1">
      <alignment horizontal="center" vertical="center"/>
    </xf>
    <xf numFmtId="164" fontId="26" fillId="0" borderId="2" xfId="0" applyNumberFormat="1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</xdr:row>
          <xdr:rowOff>85725</xdr:rowOff>
        </xdr:from>
        <xdr:to>
          <xdr:col>4</xdr:col>
          <xdr:colOff>466725</xdr:colOff>
          <xdr:row>6</xdr:row>
          <xdr:rowOff>57150</xdr:rowOff>
        </xdr:to>
        <xdr:sp macro="" textlink="">
          <xdr:nvSpPr>
            <xdr:cNvPr id="1033" name="Combo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57150</xdr:rowOff>
        </xdr:from>
        <xdr:to>
          <xdr:col>3</xdr:col>
          <xdr:colOff>104775</xdr:colOff>
          <xdr:row>6</xdr:row>
          <xdr:rowOff>57150</xdr:rowOff>
        </xdr:to>
        <xdr:sp macro="" textlink="">
          <xdr:nvSpPr>
            <xdr:cNvPr id="1034" name="Combo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4</xdr:row>
          <xdr:rowOff>66675</xdr:rowOff>
        </xdr:from>
        <xdr:to>
          <xdr:col>6</xdr:col>
          <xdr:colOff>762000</xdr:colOff>
          <xdr:row>6</xdr:row>
          <xdr:rowOff>85725</xdr:rowOff>
        </xdr:to>
        <xdr:sp macro="" textlink="">
          <xdr:nvSpPr>
            <xdr:cNvPr id="1035" name="Combo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4</xdr:row>
          <xdr:rowOff>66675</xdr:rowOff>
        </xdr:from>
        <xdr:to>
          <xdr:col>8</xdr:col>
          <xdr:colOff>495300</xdr:colOff>
          <xdr:row>6</xdr:row>
          <xdr:rowOff>38100</xdr:rowOff>
        </xdr:to>
        <xdr:sp macro="" textlink="">
          <xdr:nvSpPr>
            <xdr:cNvPr id="1037" name="ComboBox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1</xdr:row>
          <xdr:rowOff>123825</xdr:rowOff>
        </xdr:from>
        <xdr:to>
          <xdr:col>9</xdr:col>
          <xdr:colOff>352425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OBTENER 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0</xdr:row>
          <xdr:rowOff>0</xdr:rowOff>
        </xdr:from>
        <xdr:to>
          <xdr:col>3</xdr:col>
          <xdr:colOff>457200</xdr:colOff>
          <xdr:row>1</xdr:row>
          <xdr:rowOff>47625</xdr:rowOff>
        </xdr:to>
        <xdr:sp macro="" textlink="">
          <xdr:nvSpPr>
            <xdr:cNvPr id="1039" name="ComboBox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4</xdr:row>
          <xdr:rowOff>28575</xdr:rowOff>
        </xdr:from>
        <xdr:to>
          <xdr:col>9</xdr:col>
          <xdr:colOff>352425</xdr:colOff>
          <xdr:row>6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1</xdr:row>
          <xdr:rowOff>85725</xdr:rowOff>
        </xdr:from>
        <xdr:to>
          <xdr:col>10</xdr:col>
          <xdr:colOff>971550</xdr:colOff>
          <xdr:row>6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REPORTE GENERAL DEL PROYECTO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0</xdr:row>
          <xdr:rowOff>9525</xdr:rowOff>
        </xdr:from>
        <xdr:to>
          <xdr:col>4</xdr:col>
          <xdr:colOff>581025</xdr:colOff>
          <xdr:row>1</xdr:row>
          <xdr:rowOff>47625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TABLAS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6</xdr:row>
          <xdr:rowOff>152400</xdr:rowOff>
        </xdr:from>
        <xdr:to>
          <xdr:col>10</xdr:col>
          <xdr:colOff>962025</xdr:colOff>
          <xdr:row>9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RENOMBRAR REPORTES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246450</xdr:colOff>
      <xdr:row>0</xdr:row>
      <xdr:rowOff>95251</xdr:rowOff>
    </xdr:from>
    <xdr:to>
      <xdr:col>3</xdr:col>
      <xdr:colOff>475049</xdr:colOff>
      <xdr:row>2</xdr:row>
      <xdr:rowOff>103511</xdr:rowOff>
    </xdr:to>
    <xdr:pic>
      <xdr:nvPicPr>
        <xdr:cNvPr id="2" name="528 Imagen">
          <a:extLst>
            <a:ext uri="{FF2B5EF4-FFF2-40B4-BE49-F238E27FC236}">
              <a16:creationId xmlns:a16="http://schemas.microsoft.com/office/drawing/2014/main" id="{9BBB1E72-4076-4E91-950C-04E9019D67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/>
        <a:stretch/>
      </xdr:blipFill>
      <xdr:spPr>
        <a:xfrm>
          <a:off x="608400" y="95251"/>
          <a:ext cx="1752599" cy="38926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ryan_LP\Videos\en%20prueba%20000-2024%20RRGG%20COM%20DEP.xlsm" TargetMode="External"/><Relationship Id="rId1" Type="http://schemas.openxmlformats.org/officeDocument/2006/relationships/externalLinkPath" Target="/Users/Bryan_LP/Videos/en%20prueba%20000-2024%20RRGG%20COM%20DE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RAS"/>
      <sheetName val="Hoja2"/>
      <sheetName val="Hoja3"/>
      <sheetName val="Hoja4"/>
      <sheetName val="Hoja5"/>
      <sheetName val="Hoja6"/>
      <sheetName val="Dep-1"/>
      <sheetName val="DEPOSITOS"/>
    </sheetNames>
    <sheetDataSet>
      <sheetData sheetId="0">
        <row r="14">
          <cell r="A14" t="str">
            <v>ORDEN</v>
          </cell>
          <cell r="B14" t="str">
            <v>FOTO_Comprobante</v>
          </cell>
          <cell r="C14" t="str">
            <v>PDF_Comprobante</v>
          </cell>
          <cell r="D14" t="str">
            <v>Caja_Numero</v>
          </cell>
          <cell r="E14" t="str">
            <v>Nombre</v>
          </cell>
          <cell r="F14" t="str">
            <v>Project_Desc</v>
          </cell>
          <cell r="G14" t="str">
            <v>Fecha_compra</v>
          </cell>
          <cell r="H14" t="str">
            <v>Tipo_Comprobante</v>
          </cell>
          <cell r="I14" t="str">
            <v>RUC_Numero</v>
          </cell>
          <cell r="J14" t="str">
            <v>Establecimiento_Proveedor</v>
          </cell>
          <cell r="K14" t="str">
            <v>Serie_comprobante</v>
          </cell>
          <cell r="L14" t="str">
            <v>Numero_comprobante</v>
          </cell>
          <cell r="M14" t="str">
            <v>Descripcion_compra</v>
          </cell>
          <cell r="N14" t="str">
            <v>Lugar_compra</v>
          </cell>
          <cell r="O14" t="str">
            <v>Rubro_compra</v>
          </cell>
          <cell r="P14" t="str">
            <v>Moneda</v>
          </cell>
          <cell r="Q14" t="str">
            <v>Precio_final</v>
          </cell>
          <cell r="R14" t="str">
            <v>Mes</v>
          </cell>
          <cell r="S14" t="str">
            <v>C_Anterior</v>
          </cell>
          <cell r="T14" t="str">
            <v>R_Entrada</v>
          </cell>
          <cell r="U14" t="str">
            <v>R_Salida</v>
          </cell>
          <cell r="V14" t="str">
            <v>C_Geosac</v>
          </cell>
          <cell r="W14" t="str">
            <v>NOMBRE</v>
          </cell>
          <cell r="X14" t="str">
            <v>FACTURA</v>
          </cell>
        </row>
        <row r="15">
          <cell r="A15">
            <v>1</v>
          </cell>
          <cell r="B15" t="str">
            <v>JQS001-2024/5HD31GRuJG1eXglaPjIwBP.FOTO_Comprobante.161220.jpg</v>
          </cell>
          <cell r="C15" t="str">
            <v/>
          </cell>
          <cell r="D15" t="str">
            <v>JQS001-2024</v>
          </cell>
          <cell r="E15" t="str">
            <v>Julio Quino Saavedra</v>
          </cell>
          <cell r="F15" t="str">
            <v>Proy 1</v>
          </cell>
          <cell r="G15">
            <v>45499.25</v>
          </cell>
          <cell r="H15" t="str">
            <v>F</v>
          </cell>
          <cell r="I15" t="str">
            <v>20523621212</v>
          </cell>
          <cell r="J15" t="str">
            <v>LIMA EXPRESA S.A.C</v>
          </cell>
          <cell r="K15" t="str">
            <v>159</v>
          </cell>
          <cell r="L15" t="str">
            <v>2308481</v>
          </cell>
          <cell r="M15" t="str">
            <v>PEAJE</v>
          </cell>
          <cell r="N15" t="str">
            <v>Av. Dervy 250</v>
          </cell>
          <cell r="O15" t="str">
            <v>Peaje</v>
          </cell>
          <cell r="P15" t="str">
            <v>soles</v>
          </cell>
          <cell r="Q15">
            <v>6.6</v>
          </cell>
          <cell r="R15" t="str">
            <v xml:space="preserve">7-Julio </v>
          </cell>
          <cell r="S15">
            <v>0</v>
          </cell>
          <cell r="T15">
            <v>0</v>
          </cell>
          <cell r="U15">
            <v>0</v>
          </cell>
          <cell r="V15">
            <v>3000</v>
          </cell>
          <cell r="W15">
            <v>45499.25</v>
          </cell>
          <cell r="X15" t="str">
            <v>159-02308481</v>
          </cell>
        </row>
        <row r="16">
          <cell r="A16">
            <v>2</v>
          </cell>
          <cell r="B16" t="str">
            <v>JQS001-2024/b1GoewdNp0l2vggjK17nDN.FOTO_Comprobante.160833.jpg</v>
          </cell>
          <cell r="C16" t="str">
            <v/>
          </cell>
          <cell r="D16" t="str">
            <v>JQS001-2024</v>
          </cell>
          <cell r="E16" t="str">
            <v>Julio Quino Saavedra</v>
          </cell>
          <cell r="F16" t="str">
            <v>Proy 1</v>
          </cell>
          <cell r="G16">
            <v>45499.333333333336</v>
          </cell>
          <cell r="H16" t="str">
            <v>F</v>
          </cell>
          <cell r="I16" t="str">
            <v>20606508868</v>
          </cell>
          <cell r="J16" t="str">
            <v>SAN ANTONIO DE MAGDALENA S.A.C</v>
          </cell>
          <cell r="K16" t="str">
            <v>202</v>
          </cell>
          <cell r="L16" t="str">
            <v>8459</v>
          </cell>
          <cell r="M16" t="str">
            <v>Desayuno</v>
          </cell>
          <cell r="N16" t="str">
            <v>Magdalena del mar.</v>
          </cell>
          <cell r="O16" t="str">
            <v>Alimentacion</v>
          </cell>
          <cell r="P16" t="str">
            <v>soles</v>
          </cell>
          <cell r="Q16">
            <v>50.8</v>
          </cell>
          <cell r="R16" t="str">
            <v xml:space="preserve">7-Julio </v>
          </cell>
          <cell r="S16">
            <v>0</v>
          </cell>
          <cell r="T16">
            <v>0</v>
          </cell>
          <cell r="U16">
            <v>0</v>
          </cell>
          <cell r="V16">
            <v>3000</v>
          </cell>
          <cell r="W16">
            <v>45499.333333333336</v>
          </cell>
          <cell r="X16" t="str">
            <v>202-00008459</v>
          </cell>
        </row>
        <row r="17">
          <cell r="A17">
            <v>3</v>
          </cell>
          <cell r="B17" t="str">
            <v>JQS001-2024/1JqqSXxjOJQSkolWRRHXKp.FOTO_Comprobante.160133.jpg</v>
          </cell>
          <cell r="C17" t="str">
            <v/>
          </cell>
          <cell r="D17" t="str">
            <v>JQS001-2024</v>
          </cell>
          <cell r="E17" t="str">
            <v>Julio Quino Saavedra</v>
          </cell>
          <cell r="F17" t="str">
            <v>Proy 1</v>
          </cell>
          <cell r="G17">
            <v>45499.416666666664</v>
          </cell>
          <cell r="H17" t="str">
            <v>F</v>
          </cell>
          <cell r="I17" t="str">
            <v>20504126367</v>
          </cell>
          <cell r="J17" t="str">
            <v>EL ALAMO</v>
          </cell>
          <cell r="K17" t="str">
            <v>1</v>
          </cell>
          <cell r="L17" t="str">
            <v>5456</v>
          </cell>
          <cell r="M17" t="str">
            <v>Compra de Agua, gaseosas, frutos secos y otros</v>
          </cell>
          <cell r="N17" t="str">
            <v>Villa Salvador.</v>
          </cell>
          <cell r="O17" t="str">
            <v>Alimentacion</v>
          </cell>
          <cell r="P17" t="str">
            <v>soles</v>
          </cell>
          <cell r="Q17">
            <v>127.3</v>
          </cell>
          <cell r="R17" t="str">
            <v xml:space="preserve">7-Julio </v>
          </cell>
          <cell r="S17">
            <v>0</v>
          </cell>
          <cell r="T17">
            <v>0</v>
          </cell>
          <cell r="U17">
            <v>0</v>
          </cell>
          <cell r="V17">
            <v>3000</v>
          </cell>
          <cell r="W17">
            <v>45499.416666666664</v>
          </cell>
          <cell r="X17" t="str">
            <v>001-00005456</v>
          </cell>
        </row>
        <row r="18">
          <cell r="A18">
            <v>4</v>
          </cell>
          <cell r="B18" t="str">
            <v>JQS001-2024/KVqoBlu2Jhv5IOv7OBVZql.FOTO_Comprobante.160455.jpg</v>
          </cell>
          <cell r="C18" t="str">
            <v/>
          </cell>
          <cell r="D18" t="str">
            <v>JQS001-2024</v>
          </cell>
          <cell r="E18" t="str">
            <v>Julio Quino Saavedra</v>
          </cell>
          <cell r="F18" t="str">
            <v>Proy 1</v>
          </cell>
          <cell r="G18">
            <v>45499.416666666664</v>
          </cell>
          <cell r="H18" t="str">
            <v>F</v>
          </cell>
          <cell r="I18" t="str">
            <v>20550372640</v>
          </cell>
          <cell r="J18" t="str">
            <v>PEAJE</v>
          </cell>
          <cell r="K18" t="str">
            <v>223_22</v>
          </cell>
          <cell r="L18" t="str">
            <v>101320</v>
          </cell>
          <cell r="M18" t="str">
            <v>PEAJE</v>
          </cell>
          <cell r="N18" t="str">
            <v>Villa Salvador</v>
          </cell>
          <cell r="O18" t="str">
            <v>Peaje</v>
          </cell>
          <cell r="Q18">
            <v>7.5</v>
          </cell>
          <cell r="R18" t="str">
            <v xml:space="preserve">7-Julio </v>
          </cell>
          <cell r="S18">
            <v>0</v>
          </cell>
          <cell r="T18">
            <v>0</v>
          </cell>
          <cell r="U18">
            <v>0</v>
          </cell>
          <cell r="V18">
            <v>3000</v>
          </cell>
          <cell r="W18">
            <v>45499.416666666664</v>
          </cell>
          <cell r="X18" t="str">
            <v>223_22-00101320</v>
          </cell>
        </row>
        <row r="19">
          <cell r="A19">
            <v>5</v>
          </cell>
          <cell r="B19" t="str">
            <v>JQS001-2024/ncN1HY8Q8CXHupQCUmwXFp.FOTO_Comprobante.155526.jpg</v>
          </cell>
          <cell r="C19" t="str">
            <v/>
          </cell>
          <cell r="D19" t="str">
            <v>JQS001-2024</v>
          </cell>
          <cell r="E19" t="str">
            <v>Julio Quino Saavedra</v>
          </cell>
          <cell r="F19" t="str">
            <v>Proy 1</v>
          </cell>
          <cell r="G19">
            <v>45499.458333333336</v>
          </cell>
          <cell r="H19" t="str">
            <v>F</v>
          </cell>
          <cell r="I19" t="str">
            <v>20511465061</v>
          </cell>
          <cell r="J19" t="str">
            <v>CONCESIONARIA VIAL DEL PERÚ S.A</v>
          </cell>
          <cell r="K19" t="str">
            <v>104</v>
          </cell>
          <cell r="L19" t="str">
            <v>1418353</v>
          </cell>
          <cell r="M19" t="str">
            <v>PEAJE</v>
          </cell>
          <cell r="N19" t="str">
            <v>CHILCA</v>
          </cell>
          <cell r="O19" t="str">
            <v>Peaje</v>
          </cell>
          <cell r="P19" t="str">
            <v>soles</v>
          </cell>
          <cell r="Q19">
            <v>18.8</v>
          </cell>
          <cell r="R19" t="str">
            <v xml:space="preserve">7-Julio </v>
          </cell>
          <cell r="S19">
            <v>0</v>
          </cell>
          <cell r="T19">
            <v>0</v>
          </cell>
          <cell r="U19">
            <v>0</v>
          </cell>
          <cell r="V19">
            <v>3000</v>
          </cell>
          <cell r="W19">
            <v>45499.458333333336</v>
          </cell>
          <cell r="X19" t="str">
            <v>104-01418353</v>
          </cell>
        </row>
        <row r="20">
          <cell r="A20">
            <v>6</v>
          </cell>
          <cell r="B20" t="str">
            <v>JQS001-2024/YEt9ItohjyHYIutdd1OTB4.FOTO_Comprobante.155131.jpg</v>
          </cell>
          <cell r="C20" t="str">
            <v/>
          </cell>
          <cell r="D20" t="str">
            <v>JQS001-2024</v>
          </cell>
          <cell r="E20" t="str">
            <v>Julio Quino Saavedra</v>
          </cell>
          <cell r="F20" t="str">
            <v>Proy 1</v>
          </cell>
          <cell r="G20">
            <v>45499.583333333336</v>
          </cell>
          <cell r="H20" t="str">
            <v>F</v>
          </cell>
          <cell r="I20" t="str">
            <v>20511465061</v>
          </cell>
          <cell r="J20" t="str">
            <v>CONCESIONARIA VIAL DEL PERÚ S.A</v>
          </cell>
          <cell r="K20" t="str">
            <v>303</v>
          </cell>
          <cell r="L20" t="str">
            <v>1059346</v>
          </cell>
          <cell r="M20" t="str">
            <v>PEAJE</v>
          </cell>
          <cell r="N20" t="str">
            <v>ICA</v>
          </cell>
          <cell r="O20" t="str">
            <v>Peaje</v>
          </cell>
          <cell r="P20" t="str">
            <v>soles</v>
          </cell>
          <cell r="Q20">
            <v>18.8</v>
          </cell>
          <cell r="R20" t="str">
            <v xml:space="preserve">7-Julio </v>
          </cell>
          <cell r="S20">
            <v>0</v>
          </cell>
          <cell r="T20">
            <v>0</v>
          </cell>
          <cell r="U20">
            <v>0</v>
          </cell>
          <cell r="V20">
            <v>3000</v>
          </cell>
          <cell r="W20">
            <v>45499.583333333336</v>
          </cell>
          <cell r="X20" t="str">
            <v>303-01059346</v>
          </cell>
        </row>
        <row r="21">
          <cell r="A21">
            <v>7</v>
          </cell>
          <cell r="B21" t="str">
            <v>JQS001-2024/P1S9OPiOgzGhSrpFp9rnyc.FOTO_Comprobante.154650.jpg</v>
          </cell>
          <cell r="C21" t="str">
            <v/>
          </cell>
          <cell r="D21" t="str">
            <v>JQS001-2024</v>
          </cell>
          <cell r="E21" t="str">
            <v>Julio Quino Saavedra</v>
          </cell>
          <cell r="F21" t="str">
            <v>Proy 1</v>
          </cell>
          <cell r="G21">
            <v>45499.708333333336</v>
          </cell>
          <cell r="H21" t="str">
            <v>F</v>
          </cell>
          <cell r="I21" t="str">
            <v>20494678269</v>
          </cell>
          <cell r="J21" t="str">
            <v>EL CORDON Y LA ROSA RESTAURANT SAC</v>
          </cell>
          <cell r="K21" t="str">
            <v>1</v>
          </cell>
          <cell r="L21" t="str">
            <v>54665</v>
          </cell>
          <cell r="M21" t="str">
            <v>Almuerzo</v>
          </cell>
          <cell r="N21" t="str">
            <v>ICA</v>
          </cell>
          <cell r="O21" t="str">
            <v>Alimentacion</v>
          </cell>
          <cell r="P21" t="str">
            <v>soles</v>
          </cell>
          <cell r="Q21">
            <v>78</v>
          </cell>
          <cell r="R21" t="str">
            <v xml:space="preserve">7-Julio </v>
          </cell>
          <cell r="S21">
            <v>0</v>
          </cell>
          <cell r="T21">
            <v>0</v>
          </cell>
          <cell r="U21">
            <v>0</v>
          </cell>
          <cell r="V21">
            <v>3000</v>
          </cell>
          <cell r="W21">
            <v>45499.708333333336</v>
          </cell>
          <cell r="X21" t="str">
            <v>001-00054665</v>
          </cell>
        </row>
        <row r="22">
          <cell r="A22">
            <v>8</v>
          </cell>
          <cell r="B22" t="str">
            <v>JQS001-2024/ZNRnJKz5i0EuiTe3zaK5sJ.FOTO_Comprobante.181538.jpg</v>
          </cell>
          <cell r="C22" t="str">
            <v/>
          </cell>
          <cell r="D22" t="str">
            <v>JQS001-2024</v>
          </cell>
          <cell r="E22" t="str">
            <v>Julio Quino Saavedra</v>
          </cell>
          <cell r="F22" t="str">
            <v>Proy 1</v>
          </cell>
          <cell r="G22">
            <v>45500.333333333336</v>
          </cell>
          <cell r="H22" t="str">
            <v>F</v>
          </cell>
          <cell r="I22" t="str">
            <v>20534422858</v>
          </cell>
          <cell r="J22" t="str">
            <v>BODEGA EL HUARANGO S.A.C</v>
          </cell>
          <cell r="K22" t="str">
            <v>1</v>
          </cell>
          <cell r="L22" t="str">
            <v>2195</v>
          </cell>
          <cell r="M22" t="str">
            <v>Hospedaje</v>
          </cell>
          <cell r="N22" t="str">
            <v>ICA</v>
          </cell>
          <cell r="O22" t="str">
            <v>Hospedaje</v>
          </cell>
          <cell r="P22" t="str">
            <v>soles</v>
          </cell>
          <cell r="Q22">
            <v>150</v>
          </cell>
          <cell r="R22" t="str">
            <v xml:space="preserve">7-Julio </v>
          </cell>
          <cell r="S22">
            <v>0</v>
          </cell>
          <cell r="T22">
            <v>0</v>
          </cell>
          <cell r="U22">
            <v>0</v>
          </cell>
          <cell r="V22">
            <v>3000</v>
          </cell>
          <cell r="W22">
            <v>45500.333333333336</v>
          </cell>
          <cell r="X22" t="str">
            <v>001-00002195</v>
          </cell>
        </row>
        <row r="23">
          <cell r="A23">
            <v>9</v>
          </cell>
          <cell r="B23" t="str">
            <v>JQS001-2024/ycga9XRYj9woACHPjh0e3d.FOTO_Comprobante.163329.jpg</v>
          </cell>
          <cell r="C23" t="str">
            <v/>
          </cell>
          <cell r="D23" t="str">
            <v>JQS001-2024</v>
          </cell>
          <cell r="E23" t="str">
            <v>Julio Quino Saavedra</v>
          </cell>
          <cell r="F23" t="str">
            <v>Proy 1</v>
          </cell>
          <cell r="G23">
            <v>45505.25</v>
          </cell>
          <cell r="H23" t="str">
            <v>TCK</v>
          </cell>
          <cell r="I23" t="str">
            <v>20503503639</v>
          </cell>
          <cell r="J23" t="str">
            <v>Ministerio de transportes y comunicaciones provias nacional</v>
          </cell>
          <cell r="K23" t="str">
            <v>A3NA2L</v>
          </cell>
          <cell r="L23" t="str">
            <v>224215500</v>
          </cell>
          <cell r="M23" t="str">
            <v>PEAJE</v>
          </cell>
          <cell r="N23" t="str">
            <v>NAZCA</v>
          </cell>
          <cell r="O23" t="str">
            <v>Peaje</v>
          </cell>
          <cell r="P23" t="str">
            <v>soles</v>
          </cell>
          <cell r="Q23">
            <v>7.5</v>
          </cell>
          <cell r="R23" t="str">
            <v>8-Agosto</v>
          </cell>
          <cell r="S23">
            <v>0</v>
          </cell>
          <cell r="T23">
            <v>0</v>
          </cell>
          <cell r="U23">
            <v>0</v>
          </cell>
          <cell r="V23">
            <v>3000</v>
          </cell>
          <cell r="W23">
            <v>45505.25</v>
          </cell>
          <cell r="X23" t="str">
            <v>A3NA2L-224215500</v>
          </cell>
        </row>
        <row r="24">
          <cell r="A24">
            <v>10</v>
          </cell>
          <cell r="B24" t="str">
            <v>JQS001-2024/rfkGq7OdCItg1O5vu170Pu.FOTO_Comprobante.163731.jpg</v>
          </cell>
          <cell r="C24" t="str">
            <v/>
          </cell>
          <cell r="D24" t="str">
            <v>JQS001-2024</v>
          </cell>
          <cell r="E24" t="str">
            <v>Julio Quino Saavedra</v>
          </cell>
          <cell r="F24" t="str">
            <v>Proy 1</v>
          </cell>
          <cell r="G24">
            <v>45505.25</v>
          </cell>
          <cell r="H24" t="str">
            <v>F</v>
          </cell>
          <cell r="I24" t="str">
            <v>20127765279</v>
          </cell>
          <cell r="J24" t="str">
            <v>COESTI S.A</v>
          </cell>
          <cell r="K24" t="str">
            <v>55R</v>
          </cell>
          <cell r="L24" t="str">
            <v>45682</v>
          </cell>
          <cell r="M24" t="str">
            <v>Abastecimiento camioneta VBP 735</v>
          </cell>
          <cell r="N24" t="str">
            <v>Nazca</v>
          </cell>
          <cell r="O24" t="str">
            <v>Combustible</v>
          </cell>
          <cell r="P24" t="str">
            <v>soles</v>
          </cell>
          <cell r="Q24">
            <v>176</v>
          </cell>
          <cell r="R24" t="str">
            <v>8-Agosto</v>
          </cell>
          <cell r="S24">
            <v>0</v>
          </cell>
          <cell r="T24">
            <v>0</v>
          </cell>
          <cell r="U24">
            <v>0</v>
          </cell>
          <cell r="V24">
            <v>3000</v>
          </cell>
          <cell r="W24">
            <v>45505.25</v>
          </cell>
          <cell r="X24" t="str">
            <v>55R-00045682</v>
          </cell>
        </row>
        <row r="25">
          <cell r="A25">
            <v>11</v>
          </cell>
          <cell r="B25" t="str">
            <v>JQS001-2024/pHnJZ31gglAqeMb8v3OCiM.FOTO_Comprobante.161637.jpg</v>
          </cell>
          <cell r="C25" t="str">
            <v/>
          </cell>
          <cell r="D25" t="str">
            <v>JQS001-2024</v>
          </cell>
          <cell r="E25" t="str">
            <v>Julio Quino Saavedra</v>
          </cell>
          <cell r="F25" t="str">
            <v>Proy 1</v>
          </cell>
          <cell r="G25">
            <v>45505.25</v>
          </cell>
          <cell r="H25" t="str">
            <v>F</v>
          </cell>
          <cell r="I25" t="str">
            <v>10105930483</v>
          </cell>
          <cell r="J25" t="str">
            <v>RESTAURANTE CEVICHERIA FARID Y BEJAMIN</v>
          </cell>
          <cell r="K25" t="str">
            <v>1</v>
          </cell>
          <cell r="L25" t="str">
            <v>3077</v>
          </cell>
          <cell r="M25" t="str">
            <v>ALMUERZO</v>
          </cell>
          <cell r="N25" t="str">
            <v>CHAVIÑA AREQUIPA</v>
          </cell>
          <cell r="O25" t="str">
            <v>Alimentacion</v>
          </cell>
          <cell r="P25" t="str">
            <v>soles</v>
          </cell>
          <cell r="Q25">
            <v>55</v>
          </cell>
          <cell r="R25" t="str">
            <v>8-Agosto</v>
          </cell>
          <cell r="S25">
            <v>0</v>
          </cell>
          <cell r="T25">
            <v>0</v>
          </cell>
          <cell r="U25">
            <v>0</v>
          </cell>
          <cell r="V25">
            <v>3000</v>
          </cell>
          <cell r="W25">
            <v>45505.25</v>
          </cell>
          <cell r="X25" t="str">
            <v>001-00003077</v>
          </cell>
        </row>
        <row r="26">
          <cell r="A26">
            <v>12</v>
          </cell>
          <cell r="B26" t="str">
            <v>JQS001-2024/hHpExnw8qBW7VfQ68cdT23.FOTO_Comprobante.162914.jpg</v>
          </cell>
          <cell r="C26" t="str">
            <v/>
          </cell>
          <cell r="D26" t="str">
            <v>JQS001-2024</v>
          </cell>
          <cell r="E26" t="str">
            <v>Julio Quino Saavedra</v>
          </cell>
          <cell r="F26" t="str">
            <v>Proy 2</v>
          </cell>
          <cell r="G26">
            <v>45500.583333333336</v>
          </cell>
          <cell r="H26" t="str">
            <v>TCK</v>
          </cell>
          <cell r="I26" t="str">
            <v>20503503639</v>
          </cell>
          <cell r="J26" t="str">
            <v>Ministerio de transportes y comunicaciones provias nacional</v>
          </cell>
          <cell r="K26" t="str">
            <v>A3YA1L</v>
          </cell>
          <cell r="L26" t="str">
            <v>224095757</v>
          </cell>
          <cell r="M26" t="str">
            <v>PEAJE</v>
          </cell>
          <cell r="N26" t="str">
            <v>YAUCA</v>
          </cell>
          <cell r="O26" t="str">
            <v>Peaje</v>
          </cell>
          <cell r="P26" t="str">
            <v>soles</v>
          </cell>
          <cell r="Q26">
            <v>7.5</v>
          </cell>
          <cell r="R26" t="str">
            <v xml:space="preserve">7-Julio </v>
          </cell>
          <cell r="S26">
            <v>0</v>
          </cell>
          <cell r="T26">
            <v>0</v>
          </cell>
          <cell r="U26">
            <v>0</v>
          </cell>
          <cell r="V26">
            <v>3000</v>
          </cell>
          <cell r="W26">
            <v>45500.583333333336</v>
          </cell>
          <cell r="X26" t="str">
            <v>A3YA1L-224095757</v>
          </cell>
        </row>
        <row r="27">
          <cell r="A27">
            <v>13</v>
          </cell>
          <cell r="B27" t="str">
            <v>JQS001-2024/f0uJkRmooojt9zf5k4r4C1.FOTO_Comprobante.181951.jpg</v>
          </cell>
          <cell r="C27" t="str">
            <v/>
          </cell>
          <cell r="D27" t="str">
            <v>JQS001-2024</v>
          </cell>
          <cell r="E27" t="str">
            <v>Julio Quino Saavedra</v>
          </cell>
          <cell r="F27" t="str">
            <v>Proy 2</v>
          </cell>
          <cell r="G27">
            <v>45504.458333333336</v>
          </cell>
          <cell r="H27" t="str">
            <v>F</v>
          </cell>
          <cell r="I27" t="str">
            <v>20452778875</v>
          </cell>
          <cell r="J27" t="str">
            <v>PETROLEOS EL SOL E.I.R.L</v>
          </cell>
          <cell r="K27" t="str">
            <v>2</v>
          </cell>
          <cell r="L27" t="str">
            <v>165780</v>
          </cell>
          <cell r="M27" t="str">
            <v>Abastecimiento VBP 735</v>
          </cell>
          <cell r="N27" t="str">
            <v>CHALA</v>
          </cell>
          <cell r="O27" t="str">
            <v>Combustible</v>
          </cell>
          <cell r="P27" t="str">
            <v>soles</v>
          </cell>
          <cell r="Q27">
            <v>150</v>
          </cell>
          <cell r="R27" t="str">
            <v xml:space="preserve">7-Julio </v>
          </cell>
          <cell r="S27">
            <v>0</v>
          </cell>
          <cell r="T27">
            <v>0</v>
          </cell>
          <cell r="U27">
            <v>0</v>
          </cell>
          <cell r="V27">
            <v>3000</v>
          </cell>
          <cell r="W27">
            <v>45504.458333333336</v>
          </cell>
          <cell r="X27" t="str">
            <v>002-00165780</v>
          </cell>
        </row>
        <row r="28">
          <cell r="A28">
            <v>14</v>
          </cell>
          <cell r="B28" t="str">
            <v>JQS001-2024/wjLQ0ATyvn8MWoB5Yu75sV.FOTO_Comprobante.184448.jpg</v>
          </cell>
          <cell r="C28" t="str">
            <v/>
          </cell>
          <cell r="D28" t="str">
            <v>JQS001-2024</v>
          </cell>
          <cell r="E28" t="str">
            <v>Julio Quino Saavedra</v>
          </cell>
          <cell r="F28" t="str">
            <v>Proy 2</v>
          </cell>
          <cell r="G28">
            <v>45505.25</v>
          </cell>
          <cell r="H28" t="str">
            <v>F</v>
          </cell>
          <cell r="I28" t="str">
            <v>20558710439</v>
          </cell>
          <cell r="J28" t="str">
            <v>HOTEL DE TURISTAS CHALA E.I.R.L</v>
          </cell>
          <cell r="K28" t="str">
            <v>1</v>
          </cell>
          <cell r="L28" t="str">
            <v>20167</v>
          </cell>
          <cell r="M28" t="str">
            <v>Almuerzo y cena</v>
          </cell>
          <cell r="N28" t="str">
            <v>Chala</v>
          </cell>
          <cell r="O28" t="str">
            <v>Alimentacion</v>
          </cell>
          <cell r="P28" t="str">
            <v>soles</v>
          </cell>
          <cell r="Q28">
            <v>361</v>
          </cell>
          <cell r="R28" t="str">
            <v>8-Agosto</v>
          </cell>
          <cell r="S28">
            <v>0</v>
          </cell>
          <cell r="T28">
            <v>0</v>
          </cell>
          <cell r="U28">
            <v>0</v>
          </cell>
          <cell r="V28">
            <v>3000</v>
          </cell>
          <cell r="W28">
            <v>45505.25</v>
          </cell>
          <cell r="X28" t="str">
            <v>001-00020167</v>
          </cell>
        </row>
        <row r="29">
          <cell r="A29">
            <v>15</v>
          </cell>
          <cell r="B29" t="str">
            <v>JQS001-2024/V9HffhS0X0G1g3nj8EFTOT.FOTO_Comprobante.184725.jpg</v>
          </cell>
          <cell r="C29" t="str">
            <v/>
          </cell>
          <cell r="D29" t="str">
            <v>JQS001-2024</v>
          </cell>
          <cell r="E29" t="str">
            <v>Julio Quino Saavedra</v>
          </cell>
          <cell r="F29" t="str">
            <v>Proy 2</v>
          </cell>
          <cell r="G29">
            <v>45505.25</v>
          </cell>
          <cell r="H29" t="str">
            <v>F</v>
          </cell>
          <cell r="I29" t="str">
            <v>20558710439</v>
          </cell>
          <cell r="J29" t="str">
            <v>Hotel turistas chala E.I.R.L</v>
          </cell>
          <cell r="K29" t="str">
            <v>1</v>
          </cell>
          <cell r="L29" t="str">
            <v>20166</v>
          </cell>
          <cell r="M29" t="str">
            <v>ALOJAMIENTO</v>
          </cell>
          <cell r="N29" t="str">
            <v>CHALA</v>
          </cell>
          <cell r="O29" t="str">
            <v>Hospedaje</v>
          </cell>
          <cell r="P29" t="str">
            <v>soles</v>
          </cell>
          <cell r="Q29">
            <v>700</v>
          </cell>
          <cell r="R29" t="str">
            <v>8-Agosto</v>
          </cell>
          <cell r="S29">
            <v>0</v>
          </cell>
          <cell r="T29">
            <v>0</v>
          </cell>
          <cell r="U29">
            <v>0</v>
          </cell>
          <cell r="V29">
            <v>3000</v>
          </cell>
          <cell r="W29">
            <v>45505.25</v>
          </cell>
          <cell r="X29" t="str">
            <v>001-00020166</v>
          </cell>
        </row>
        <row r="30">
          <cell r="A30">
            <v>16</v>
          </cell>
          <cell r="B30" t="str">
            <v>JQS001-2024/DpLe06957XjnRYyBlNNeBo.FOTO_Comprobante.185100.jpg</v>
          </cell>
          <cell r="C30" t="str">
            <v/>
          </cell>
          <cell r="D30" t="str">
            <v>JQS001-2024</v>
          </cell>
          <cell r="E30" t="str">
            <v>Julio Quino Saavedra</v>
          </cell>
          <cell r="F30" t="str">
            <v>Proy 2</v>
          </cell>
          <cell r="G30">
            <v>45505.25</v>
          </cell>
          <cell r="H30" t="str">
            <v>F</v>
          </cell>
          <cell r="I30" t="str">
            <v>20512423516</v>
          </cell>
          <cell r="J30" t="str">
            <v>QALLWA HOTELS.</v>
          </cell>
          <cell r="K30" t="str">
            <v>1</v>
          </cell>
          <cell r="L30" t="str">
            <v>886</v>
          </cell>
          <cell r="M30" t="str">
            <v>ALOJAMIENTO</v>
          </cell>
          <cell r="N30" t="str">
            <v>ASÍA</v>
          </cell>
          <cell r="O30" t="str">
            <v>Hospedaje</v>
          </cell>
          <cell r="P30" t="str">
            <v>soles</v>
          </cell>
          <cell r="Q30">
            <v>70</v>
          </cell>
          <cell r="R30" t="str">
            <v>8-Agosto</v>
          </cell>
          <cell r="S30">
            <v>0</v>
          </cell>
          <cell r="T30">
            <v>0</v>
          </cell>
          <cell r="U30">
            <v>0</v>
          </cell>
          <cell r="V30">
            <v>3000</v>
          </cell>
          <cell r="W30">
            <v>45505.25</v>
          </cell>
          <cell r="X30" t="str">
            <v>001-00000886</v>
          </cell>
        </row>
        <row r="31">
          <cell r="A31">
            <v>17</v>
          </cell>
          <cell r="B31" t="str">
            <v>JQS001-2024/iNr1xQnahS6dGZ8VU8us47.FOTO_Comprobante.184032.jpg</v>
          </cell>
          <cell r="C31" t="str">
            <v/>
          </cell>
          <cell r="D31" t="str">
            <v>JQS001-2024</v>
          </cell>
          <cell r="E31" t="str">
            <v>Julio Quino Saavedra</v>
          </cell>
          <cell r="F31" t="str">
            <v>Proy 2</v>
          </cell>
          <cell r="G31">
            <v>45505.333333333336</v>
          </cell>
          <cell r="H31" t="str">
            <v>B</v>
          </cell>
          <cell r="I31" t="str">
            <v>10723590359</v>
          </cell>
          <cell r="J31" t="str">
            <v>RESTAURANTE GABY</v>
          </cell>
          <cell r="K31" t="str">
            <v>2</v>
          </cell>
          <cell r="L31" t="str">
            <v>870</v>
          </cell>
          <cell r="M31" t="str">
            <v>DESAYUNO</v>
          </cell>
          <cell r="N31" t="str">
            <v>LOMAS AREQUIPA</v>
          </cell>
          <cell r="O31" t="str">
            <v>Alimentacion</v>
          </cell>
          <cell r="P31" t="str">
            <v>soles</v>
          </cell>
          <cell r="Q31">
            <v>20</v>
          </cell>
          <cell r="R31" t="str">
            <v>8-Agosto</v>
          </cell>
          <cell r="S31">
            <v>0</v>
          </cell>
          <cell r="T31">
            <v>0</v>
          </cell>
          <cell r="U31">
            <v>0</v>
          </cell>
          <cell r="V31">
            <v>3000</v>
          </cell>
          <cell r="W31">
            <v>45505.333333333336</v>
          </cell>
          <cell r="X31" t="str">
            <v>002-00000870</v>
          </cell>
        </row>
        <row r="32">
          <cell r="A32">
            <v>18</v>
          </cell>
          <cell r="B32" t="str">
            <v>JQS001-2024/Bqcsgl1wyGRuoGF8GwWx1q.FOTO_Comprobante.182800.jpg</v>
          </cell>
          <cell r="C32" t="str">
            <v/>
          </cell>
          <cell r="D32" t="str">
            <v>JQS001-2024</v>
          </cell>
          <cell r="E32" t="str">
            <v>Julio Quino Saavedra</v>
          </cell>
          <cell r="F32" t="str">
            <v>Proy 2</v>
          </cell>
          <cell r="G32">
            <v>45505.583333333336</v>
          </cell>
          <cell r="H32" t="str">
            <v>F</v>
          </cell>
          <cell r="I32" t="str">
            <v>20604451737</v>
          </cell>
          <cell r="J32" t="str">
            <v>EL CORDÓN Y LA ROSA</v>
          </cell>
          <cell r="K32" t="str">
            <v>1</v>
          </cell>
          <cell r="L32" t="str">
            <v>21611</v>
          </cell>
          <cell r="M32" t="str">
            <v>Almuerzo</v>
          </cell>
          <cell r="N32" t="str">
            <v>ICA</v>
          </cell>
          <cell r="O32" t="str">
            <v>Alimentacion</v>
          </cell>
          <cell r="P32" t="str">
            <v>soles</v>
          </cell>
          <cell r="Q32">
            <v>56</v>
          </cell>
          <cell r="R32" t="str">
            <v>8-Agosto</v>
          </cell>
          <cell r="S32">
            <v>0</v>
          </cell>
          <cell r="T32">
            <v>0</v>
          </cell>
          <cell r="U32">
            <v>0</v>
          </cell>
          <cell r="V32">
            <v>3000</v>
          </cell>
          <cell r="W32">
            <v>45505.583333333336</v>
          </cell>
          <cell r="X32" t="str">
            <v>001-00021611</v>
          </cell>
        </row>
        <row r="33">
          <cell r="A33">
            <v>19</v>
          </cell>
          <cell r="B33" t="str">
            <v>JQS001-2024/kTMghQczVBj7iS2z8oZdUG.FOTO_Comprobante.183155.jpg</v>
          </cell>
          <cell r="C33" t="str">
            <v/>
          </cell>
          <cell r="D33" t="str">
            <v>JQS001-2024</v>
          </cell>
          <cell r="E33" t="str">
            <v>Julio Quino Saavedra</v>
          </cell>
          <cell r="F33" t="str">
            <v>Proy 2</v>
          </cell>
          <cell r="G33">
            <v>45505.625</v>
          </cell>
          <cell r="H33" t="str">
            <v>F</v>
          </cell>
          <cell r="I33" t="str">
            <v>20511465061</v>
          </cell>
          <cell r="J33" t="str">
            <v>CONCESIONARIA VIAL DEL PERÚ S.A</v>
          </cell>
          <cell r="K33" t="str">
            <v>203</v>
          </cell>
          <cell r="L33" t="str">
            <v>1203863</v>
          </cell>
          <cell r="M33" t="str">
            <v>PEAJE</v>
          </cell>
          <cell r="N33" t="str">
            <v>CHINCHA</v>
          </cell>
          <cell r="O33" t="str">
            <v>Peaje</v>
          </cell>
          <cell r="P33" t="str">
            <v>soles</v>
          </cell>
          <cell r="Q33">
            <v>18.8</v>
          </cell>
          <cell r="R33" t="str">
            <v>8-Agosto</v>
          </cell>
          <cell r="S33">
            <v>0</v>
          </cell>
          <cell r="T33">
            <v>0</v>
          </cell>
          <cell r="U33">
            <v>0</v>
          </cell>
          <cell r="V33">
            <v>3000</v>
          </cell>
          <cell r="W33">
            <v>45505.625</v>
          </cell>
          <cell r="X33" t="str">
            <v>203-01203863</v>
          </cell>
        </row>
        <row r="34">
          <cell r="A34">
            <v>20</v>
          </cell>
          <cell r="B34" t="str">
            <v>JQS001-2024/ehUl4wJjmRyRiXKR6cJYw5.FOTO_Comprobante.182408.jpg</v>
          </cell>
          <cell r="C34" t="str">
            <v/>
          </cell>
          <cell r="D34" t="str">
            <v>JQS001-2024</v>
          </cell>
          <cell r="E34" t="str">
            <v>Julio Quino Saavedra</v>
          </cell>
          <cell r="F34" t="str">
            <v>Proy 2</v>
          </cell>
          <cell r="G34">
            <v>45505.666666666664</v>
          </cell>
          <cell r="H34" t="str">
            <v>F</v>
          </cell>
          <cell r="I34" t="str">
            <v>20127765279</v>
          </cell>
          <cell r="J34" t="str">
            <v>COESTI S.A</v>
          </cell>
          <cell r="K34" t="str">
            <v>259</v>
          </cell>
          <cell r="L34" t="str">
            <v>10301</v>
          </cell>
          <cell r="M34" t="str">
            <v>ABASTECIMIENTO VBP 735</v>
          </cell>
          <cell r="N34" t="str">
            <v>CERRO AZUL CAÑETE.</v>
          </cell>
          <cell r="O34" t="str">
            <v>Combustible</v>
          </cell>
          <cell r="P34" t="str">
            <v>soles</v>
          </cell>
          <cell r="Q34">
            <v>225.02</v>
          </cell>
          <cell r="R34" t="str">
            <v>8-Agosto</v>
          </cell>
          <cell r="S34">
            <v>0</v>
          </cell>
          <cell r="T34">
            <v>0</v>
          </cell>
          <cell r="U34">
            <v>0</v>
          </cell>
          <cell r="V34">
            <v>3000</v>
          </cell>
          <cell r="W34">
            <v>45505.666666666664</v>
          </cell>
          <cell r="X34" t="str">
            <v>259-00010301</v>
          </cell>
        </row>
        <row r="35">
          <cell r="A35">
            <v>21</v>
          </cell>
          <cell r="B35" t="str">
            <v>JQS001-2024/Sxe6dPXqTasabta6o1HqcK.FOTO_Comprobante.183655.jpg</v>
          </cell>
          <cell r="C35" t="str">
            <v/>
          </cell>
          <cell r="D35" t="str">
            <v>JQS001-2024</v>
          </cell>
          <cell r="E35" t="str">
            <v>Julio Quino Saavedra</v>
          </cell>
          <cell r="F35" t="str">
            <v>Proy 2</v>
          </cell>
          <cell r="G35">
            <v>45505.666666666664</v>
          </cell>
          <cell r="H35" t="str">
            <v>F</v>
          </cell>
          <cell r="I35" t="str">
            <v>20127765279</v>
          </cell>
          <cell r="J35" t="str">
            <v>COESTI S.A</v>
          </cell>
          <cell r="K35" t="str">
            <v>29w</v>
          </cell>
          <cell r="L35" t="str">
            <v>5470</v>
          </cell>
          <cell r="M35" t="str">
            <v>Café, Reydratante</v>
          </cell>
          <cell r="N35" t="str">
            <v>CERRO AZUL CAÑETE</v>
          </cell>
          <cell r="O35" t="str">
            <v>Alimentacion</v>
          </cell>
          <cell r="P35" t="str">
            <v>soles</v>
          </cell>
          <cell r="Q35">
            <v>12.8</v>
          </cell>
          <cell r="R35" t="str">
            <v>8-Agosto</v>
          </cell>
          <cell r="S35">
            <v>0</v>
          </cell>
          <cell r="T35">
            <v>0</v>
          </cell>
          <cell r="U35">
            <v>0</v>
          </cell>
          <cell r="V35">
            <v>3000</v>
          </cell>
          <cell r="W35">
            <v>45505.666666666664</v>
          </cell>
          <cell r="X35" t="str">
            <v>29w-00005470</v>
          </cell>
        </row>
        <row r="36">
          <cell r="A36">
            <v>22</v>
          </cell>
          <cell r="B36" t="str">
            <v>JQS001-2024/QFdRiB8N5AtOdsWTtleFPC.FOTO_Comprobante.185421.jpg</v>
          </cell>
          <cell r="C36" t="str">
            <v/>
          </cell>
          <cell r="D36" t="str">
            <v>JQS001-2024</v>
          </cell>
          <cell r="E36" t="str">
            <v>Julio Quino Saavedra</v>
          </cell>
          <cell r="F36" t="str">
            <v>Proy 2</v>
          </cell>
          <cell r="G36">
            <v>45506.291666666664</v>
          </cell>
          <cell r="H36" t="str">
            <v>F</v>
          </cell>
          <cell r="I36" t="str">
            <v>20550372640</v>
          </cell>
          <cell r="J36" t="str">
            <v>RUTAS DE LIMA SAC</v>
          </cell>
          <cell r="K36" t="str">
            <v>603-04</v>
          </cell>
          <cell r="L36" t="str">
            <v>2740256</v>
          </cell>
          <cell r="M36" t="str">
            <v>PEAJE</v>
          </cell>
          <cell r="N36" t="str">
            <v>PUNTA NEGRA</v>
          </cell>
          <cell r="O36" t="str">
            <v>Peaje</v>
          </cell>
          <cell r="P36" t="str">
            <v>soles</v>
          </cell>
          <cell r="Q36">
            <v>7.5</v>
          </cell>
          <cell r="R36" t="str">
            <v>8-Agosto</v>
          </cell>
          <cell r="S36">
            <v>0</v>
          </cell>
          <cell r="T36">
            <v>0</v>
          </cell>
          <cell r="U36">
            <v>0</v>
          </cell>
          <cell r="V36">
            <v>3000</v>
          </cell>
          <cell r="W36">
            <v>45506.291666666664</v>
          </cell>
          <cell r="X36" t="str">
            <v>603-04-02740256</v>
          </cell>
        </row>
        <row r="37">
          <cell r="A37">
            <v>23</v>
          </cell>
          <cell r="B37" t="str">
            <v>JQS001-2024/SEMaEACJzwjk34s5TVQCvr.FOTO_Comprobante.185838.jpg</v>
          </cell>
          <cell r="C37" t="str">
            <v/>
          </cell>
          <cell r="D37" t="str">
            <v>JQS001-2024</v>
          </cell>
          <cell r="E37" t="str">
            <v>Julio Quino Saavedra</v>
          </cell>
          <cell r="F37" t="str">
            <v>Proy 2</v>
          </cell>
          <cell r="G37">
            <v>45506.375</v>
          </cell>
          <cell r="H37" t="str">
            <v>F</v>
          </cell>
          <cell r="I37" t="str">
            <v>20606508868</v>
          </cell>
          <cell r="J37" t="str">
            <v>San Antonio de Magdalena s.a.c</v>
          </cell>
          <cell r="K37" t="str">
            <v>202</v>
          </cell>
          <cell r="L37" t="str">
            <v>8615</v>
          </cell>
          <cell r="M37" t="str">
            <v>DESAYUNO</v>
          </cell>
          <cell r="N37" t="str">
            <v>Magdalena del Mar</v>
          </cell>
          <cell r="O37" t="str">
            <v>Alimentacion</v>
          </cell>
          <cell r="P37" t="str">
            <v>soles</v>
          </cell>
          <cell r="Q37">
            <v>38.9</v>
          </cell>
          <cell r="R37" t="str">
            <v>8-Agosto</v>
          </cell>
          <cell r="S37">
            <v>0</v>
          </cell>
          <cell r="T37">
            <v>0</v>
          </cell>
          <cell r="U37">
            <v>0</v>
          </cell>
          <cell r="V37">
            <v>3000</v>
          </cell>
          <cell r="W37">
            <v>45506.375</v>
          </cell>
          <cell r="X37" t="str">
            <v>202-00008615</v>
          </cell>
        </row>
        <row r="38">
          <cell r="A38">
            <v>24</v>
          </cell>
          <cell r="B38" t="str">
            <v>JQS001-2024/pqtXimQ1bdfK4EefvhTIMl.FOTO_Comprobante.190153.jpg</v>
          </cell>
          <cell r="C38" t="str">
            <v/>
          </cell>
          <cell r="D38" t="str">
            <v>JQS001-2024</v>
          </cell>
          <cell r="E38" t="str">
            <v>Julio Quino Saavedra</v>
          </cell>
          <cell r="F38" t="str">
            <v>Proy 2</v>
          </cell>
          <cell r="G38">
            <v>45506.5</v>
          </cell>
          <cell r="H38" t="str">
            <v>F</v>
          </cell>
          <cell r="I38" t="str">
            <v>20523621212</v>
          </cell>
          <cell r="J38" t="str">
            <v>LIMA EXPRESA S.A.C</v>
          </cell>
          <cell r="K38" t="str">
            <v>260</v>
          </cell>
          <cell r="L38" t="str">
            <v>466960</v>
          </cell>
          <cell r="M38" t="str">
            <v>PEAJE</v>
          </cell>
          <cell r="N38" t="str">
            <v>Av el derby 250</v>
          </cell>
          <cell r="O38" t="str">
            <v>Peaje</v>
          </cell>
          <cell r="P38" t="str">
            <v>soles</v>
          </cell>
          <cell r="Q38">
            <v>6.6</v>
          </cell>
          <cell r="R38" t="str">
            <v>8-Agosto</v>
          </cell>
          <cell r="S38">
            <v>0</v>
          </cell>
          <cell r="T38">
            <v>0</v>
          </cell>
          <cell r="U38">
            <v>0</v>
          </cell>
          <cell r="V38">
            <v>3000</v>
          </cell>
          <cell r="W38">
            <v>45506.5</v>
          </cell>
          <cell r="X38" t="str">
            <v>260-00466960</v>
          </cell>
        </row>
        <row r="39">
          <cell r="A39">
            <v>25</v>
          </cell>
          <cell r="B39" t="str">
            <v>JQS001-2024/jJGWCEAEb8MO4swSL9Cfhc.FOTO_Comprobante.190944.jpg</v>
          </cell>
          <cell r="C39" t="str">
            <v/>
          </cell>
          <cell r="D39" t="str">
            <v>JQS001-2024</v>
          </cell>
          <cell r="E39" t="str">
            <v>Julio Quino Saavedra</v>
          </cell>
          <cell r="F39" t="str">
            <v>Proy 2</v>
          </cell>
          <cell r="G39">
            <v>45506.5</v>
          </cell>
          <cell r="H39" t="str">
            <v>F</v>
          </cell>
          <cell r="I39" t="str">
            <v>20604302863</v>
          </cell>
          <cell r="J39" t="str">
            <v>ADMINISTRACIÓN DE GRIFOS LEP S.A.C</v>
          </cell>
          <cell r="K39" t="str">
            <v>55</v>
          </cell>
          <cell r="L39" t="str">
            <v>39219</v>
          </cell>
          <cell r="M39" t="str">
            <v>ABASTECIMIENTO</v>
          </cell>
          <cell r="N39" t="str">
            <v>El PARAÍSO LURIGANCHO</v>
          </cell>
          <cell r="O39" t="str">
            <v>Combustible</v>
          </cell>
          <cell r="P39" t="str">
            <v>soles</v>
          </cell>
          <cell r="Q39">
            <v>60.05</v>
          </cell>
          <cell r="R39" t="str">
            <v>8-Agosto</v>
          </cell>
          <cell r="S39">
            <v>0</v>
          </cell>
          <cell r="T39">
            <v>0</v>
          </cell>
          <cell r="U39">
            <v>0</v>
          </cell>
          <cell r="V39">
            <v>3000</v>
          </cell>
          <cell r="W39">
            <v>45506.5</v>
          </cell>
          <cell r="X39" t="str">
            <v>055-00039219</v>
          </cell>
        </row>
        <row r="40">
          <cell r="A40">
            <v>26</v>
          </cell>
          <cell r="B40" t="str">
            <v>JQS001-2024/gqJthX7kVhW4JWBwf1WvS7.FOTO_Comprobante.162338.jpg</v>
          </cell>
          <cell r="C40" t="str">
            <v/>
          </cell>
          <cell r="D40" t="str">
            <v>JQS001-2024</v>
          </cell>
          <cell r="E40" t="str">
            <v>Julio Quino Saavedra</v>
          </cell>
          <cell r="F40" t="str">
            <v>Proy 2</v>
          </cell>
          <cell r="G40">
            <v>45506.625</v>
          </cell>
          <cell r="H40" t="str">
            <v>R</v>
          </cell>
          <cell r="J40" t="str">
            <v>Huachipa</v>
          </cell>
          <cell r="M40" t="str">
            <v>Lavado de camioneta VBP 735</v>
          </cell>
          <cell r="N40" t="str">
            <v>Huachipa</v>
          </cell>
          <cell r="O40" t="str">
            <v>Otros</v>
          </cell>
          <cell r="P40" t="str">
            <v>soles</v>
          </cell>
          <cell r="Q40">
            <v>25</v>
          </cell>
          <cell r="R40" t="str">
            <v>8-Agosto</v>
          </cell>
          <cell r="S40">
            <v>0</v>
          </cell>
          <cell r="T40">
            <v>0</v>
          </cell>
          <cell r="U40">
            <v>0</v>
          </cell>
          <cell r="V40">
            <v>3000</v>
          </cell>
          <cell r="W40">
            <v>45506.625</v>
          </cell>
          <cell r="X40" t="str">
            <v>000-00000000</v>
          </cell>
        </row>
        <row r="41">
          <cell r="A41">
            <v>27</v>
          </cell>
          <cell r="B41" t="str">
            <v>JQS001-2024/oueJG8TvrewkGiRSOdznGF.FOTO_Comprobante.153511.jpg</v>
          </cell>
          <cell r="C41" t="str">
            <v/>
          </cell>
          <cell r="D41" t="str">
            <v>JQS001-2024</v>
          </cell>
          <cell r="E41" t="str">
            <v>Julio Quino Saavedra</v>
          </cell>
          <cell r="F41" t="str">
            <v>Proy 2</v>
          </cell>
          <cell r="G41">
            <v>45508.25</v>
          </cell>
          <cell r="H41" t="str">
            <v>F</v>
          </cell>
          <cell r="I41" t="str">
            <v>20523621212</v>
          </cell>
          <cell r="J41" t="str">
            <v>LIMA EXPRESA S.A.C</v>
          </cell>
          <cell r="K41" t="str">
            <v>155</v>
          </cell>
          <cell r="L41" t="str">
            <v>4106361</v>
          </cell>
          <cell r="M41" t="str">
            <v>PEAJE</v>
          </cell>
          <cell r="N41" t="str">
            <v>Av Dervy 250</v>
          </cell>
          <cell r="O41" t="str">
            <v>Peaje</v>
          </cell>
          <cell r="P41" t="str">
            <v>soles</v>
          </cell>
          <cell r="Q41">
            <v>6.6</v>
          </cell>
          <cell r="R41" t="str">
            <v>8-Agosto</v>
          </cell>
          <cell r="S41">
            <v>0</v>
          </cell>
          <cell r="T41">
            <v>0</v>
          </cell>
          <cell r="U41">
            <v>0</v>
          </cell>
          <cell r="V41">
            <v>3000</v>
          </cell>
          <cell r="W41">
            <v>45508.25</v>
          </cell>
          <cell r="X41" t="str">
            <v>155-04106361</v>
          </cell>
        </row>
        <row r="42">
          <cell r="A42">
            <v>28</v>
          </cell>
          <cell r="B42" t="str">
            <v>JQS001-2024/9vi3p8DtDzfMTsnYG7tN6J.FOTO_Comprobante.153857.jpg</v>
          </cell>
          <cell r="C42" t="str">
            <v/>
          </cell>
          <cell r="D42" t="str">
            <v>JQS001-2024</v>
          </cell>
          <cell r="E42" t="str">
            <v>Julio Quino Saavedra</v>
          </cell>
          <cell r="F42" t="str">
            <v>Proy 2</v>
          </cell>
          <cell r="G42">
            <v>45508.291666666664</v>
          </cell>
          <cell r="H42" t="str">
            <v>F</v>
          </cell>
          <cell r="I42" t="str">
            <v>20606508868</v>
          </cell>
          <cell r="J42" t="str">
            <v>San Antonio de Magdalena S.A.C</v>
          </cell>
          <cell r="K42" t="str">
            <v>201</v>
          </cell>
          <cell r="L42" t="str">
            <v>9638</v>
          </cell>
          <cell r="M42" t="str">
            <v>DESAYUNO</v>
          </cell>
          <cell r="N42" t="str">
            <v>Magdalena del Mar.</v>
          </cell>
          <cell r="O42" t="str">
            <v>Alimentacion</v>
          </cell>
          <cell r="P42" t="str">
            <v>soles</v>
          </cell>
          <cell r="Q42">
            <v>50.8</v>
          </cell>
          <cell r="R42" t="str">
            <v>8-Agosto</v>
          </cell>
          <cell r="S42">
            <v>0</v>
          </cell>
          <cell r="T42">
            <v>0</v>
          </cell>
          <cell r="U42">
            <v>0</v>
          </cell>
          <cell r="V42">
            <v>3000</v>
          </cell>
          <cell r="W42">
            <v>45508.291666666664</v>
          </cell>
          <cell r="X42" t="str">
            <v>201-00009638</v>
          </cell>
        </row>
        <row r="43">
          <cell r="A43" t="str">
            <v/>
          </cell>
          <cell r="W43">
            <v>0</v>
          </cell>
          <cell r="X43" t="str">
            <v>000-00000000</v>
          </cell>
        </row>
        <row r="44">
          <cell r="A44" t="str">
            <v/>
          </cell>
          <cell r="W44">
            <v>0</v>
          </cell>
          <cell r="X44" t="str">
            <v>000-00000000</v>
          </cell>
        </row>
        <row r="45">
          <cell r="A45" t="str">
            <v/>
          </cell>
          <cell r="W45">
            <v>0</v>
          </cell>
          <cell r="X45" t="str">
            <v>000-00000000</v>
          </cell>
        </row>
        <row r="46">
          <cell r="A46" t="str">
            <v/>
          </cell>
          <cell r="W46">
            <v>0</v>
          </cell>
          <cell r="X46" t="str">
            <v>000-00000000</v>
          </cell>
        </row>
        <row r="47">
          <cell r="A47" t="str">
            <v/>
          </cell>
          <cell r="W47">
            <v>0</v>
          </cell>
          <cell r="X47" t="str">
            <v>000-00000000</v>
          </cell>
        </row>
        <row r="48">
          <cell r="A48" t="str">
            <v/>
          </cell>
          <cell r="W48">
            <v>0</v>
          </cell>
          <cell r="X48" t="str">
            <v>000-00000000</v>
          </cell>
        </row>
        <row r="49">
          <cell r="A49" t="str">
            <v/>
          </cell>
          <cell r="W49">
            <v>0</v>
          </cell>
          <cell r="X49" t="str">
            <v>000-00000000</v>
          </cell>
        </row>
        <row r="50">
          <cell r="A50" t="str">
            <v/>
          </cell>
          <cell r="W50">
            <v>0</v>
          </cell>
          <cell r="X50" t="str">
            <v>000-00000000</v>
          </cell>
        </row>
        <row r="51">
          <cell r="A51" t="str">
            <v/>
          </cell>
          <cell r="W51">
            <v>0</v>
          </cell>
          <cell r="X51" t="str">
            <v>000-00000000</v>
          </cell>
        </row>
        <row r="52">
          <cell r="A52" t="str">
            <v/>
          </cell>
          <cell r="W52">
            <v>0</v>
          </cell>
          <cell r="X52" t="str">
            <v>000-00000000</v>
          </cell>
        </row>
        <row r="53">
          <cell r="A53" t="str">
            <v/>
          </cell>
          <cell r="W53">
            <v>0</v>
          </cell>
          <cell r="X53" t="str">
            <v>000-00000000</v>
          </cell>
        </row>
        <row r="54">
          <cell r="A54" t="str">
            <v/>
          </cell>
          <cell r="W54">
            <v>0</v>
          </cell>
          <cell r="X54" t="str">
            <v>000-00000000</v>
          </cell>
        </row>
        <row r="55">
          <cell r="A55" t="str">
            <v/>
          </cell>
          <cell r="W55">
            <v>0</v>
          </cell>
          <cell r="X55" t="str">
            <v>000-00000000</v>
          </cell>
        </row>
        <row r="56">
          <cell r="A56" t="str">
            <v/>
          </cell>
          <cell r="W56">
            <v>0</v>
          </cell>
          <cell r="X56" t="str">
            <v>000-00000000</v>
          </cell>
        </row>
        <row r="57">
          <cell r="A57" t="str">
            <v/>
          </cell>
          <cell r="W57">
            <v>0</v>
          </cell>
          <cell r="X57" t="str">
            <v>000-00000000</v>
          </cell>
        </row>
        <row r="58">
          <cell r="A58" t="str">
            <v/>
          </cell>
          <cell r="W58">
            <v>0</v>
          </cell>
          <cell r="X58" t="str">
            <v>000-00000000</v>
          </cell>
        </row>
        <row r="59">
          <cell r="A59" t="str">
            <v/>
          </cell>
          <cell r="W59">
            <v>0</v>
          </cell>
          <cell r="X59" t="str">
            <v>000-00000000</v>
          </cell>
        </row>
        <row r="60">
          <cell r="A60" t="str">
            <v/>
          </cell>
          <cell r="W60">
            <v>0</v>
          </cell>
          <cell r="X60" t="str">
            <v>000-00000000</v>
          </cell>
        </row>
        <row r="61">
          <cell r="A61" t="str">
            <v/>
          </cell>
          <cell r="W61">
            <v>0</v>
          </cell>
          <cell r="X61" t="str">
            <v>000-00000000</v>
          </cell>
        </row>
        <row r="62">
          <cell r="A62" t="str">
            <v/>
          </cell>
          <cell r="W62">
            <v>0</v>
          </cell>
          <cell r="X62" t="str">
            <v>000-00000000</v>
          </cell>
        </row>
        <row r="63">
          <cell r="A63" t="str">
            <v/>
          </cell>
          <cell r="W63">
            <v>0</v>
          </cell>
          <cell r="X63" t="str">
            <v>000-00000000</v>
          </cell>
        </row>
        <row r="64">
          <cell r="A64" t="str">
            <v/>
          </cell>
          <cell r="W64">
            <v>0</v>
          </cell>
          <cell r="X64" t="str">
            <v>000-00000000</v>
          </cell>
        </row>
        <row r="65">
          <cell r="A65" t="str">
            <v/>
          </cell>
          <cell r="W65">
            <v>0</v>
          </cell>
          <cell r="X65" t="str">
            <v>000-00000000</v>
          </cell>
        </row>
        <row r="66">
          <cell r="A66" t="str">
            <v/>
          </cell>
          <cell r="W66">
            <v>0</v>
          </cell>
          <cell r="X66" t="str">
            <v>000-00000000</v>
          </cell>
        </row>
        <row r="67">
          <cell r="A67" t="str">
            <v/>
          </cell>
          <cell r="W67">
            <v>0</v>
          </cell>
          <cell r="X67" t="str">
            <v>000-00000000</v>
          </cell>
        </row>
        <row r="68">
          <cell r="A68" t="str">
            <v/>
          </cell>
          <cell r="W68">
            <v>0</v>
          </cell>
          <cell r="X68" t="str">
            <v>000-00000000</v>
          </cell>
        </row>
        <row r="69">
          <cell r="A69" t="str">
            <v/>
          </cell>
          <cell r="W69">
            <v>0</v>
          </cell>
          <cell r="X69" t="str">
            <v>000-00000000</v>
          </cell>
        </row>
        <row r="70">
          <cell r="A70" t="str">
            <v/>
          </cell>
          <cell r="W70">
            <v>0</v>
          </cell>
          <cell r="X70" t="str">
            <v>000-00000000</v>
          </cell>
        </row>
        <row r="71">
          <cell r="A71" t="str">
            <v/>
          </cell>
          <cell r="W71">
            <v>0</v>
          </cell>
          <cell r="X71" t="str">
            <v>000-00000000</v>
          </cell>
        </row>
        <row r="72">
          <cell r="A72" t="str">
            <v/>
          </cell>
          <cell r="W72">
            <v>0</v>
          </cell>
          <cell r="X72" t="str">
            <v>000-00000000</v>
          </cell>
        </row>
        <row r="73">
          <cell r="A73" t="str">
            <v/>
          </cell>
          <cell r="W73">
            <v>0</v>
          </cell>
          <cell r="X73" t="str">
            <v>000-00000000</v>
          </cell>
        </row>
        <row r="74">
          <cell r="A74" t="str">
            <v/>
          </cell>
          <cell r="W74">
            <v>0</v>
          </cell>
          <cell r="X74" t="str">
            <v>000-00000000</v>
          </cell>
        </row>
        <row r="75">
          <cell r="A75" t="str">
            <v/>
          </cell>
          <cell r="W75">
            <v>0</v>
          </cell>
          <cell r="X75" t="str">
            <v>000-00000000</v>
          </cell>
        </row>
        <row r="76">
          <cell r="A76" t="str">
            <v/>
          </cell>
          <cell r="W76">
            <v>0</v>
          </cell>
          <cell r="X76" t="str">
            <v>000-00000000</v>
          </cell>
        </row>
        <row r="77">
          <cell r="A77" t="str">
            <v/>
          </cell>
          <cell r="W77">
            <v>0</v>
          </cell>
          <cell r="X77" t="str">
            <v>000-00000000</v>
          </cell>
        </row>
        <row r="78">
          <cell r="A78" t="str">
            <v/>
          </cell>
          <cell r="W78">
            <v>0</v>
          </cell>
          <cell r="X78" t="str">
            <v>000-00000000</v>
          </cell>
        </row>
        <row r="79">
          <cell r="A79" t="str">
            <v/>
          </cell>
          <cell r="W79">
            <v>0</v>
          </cell>
          <cell r="X79" t="str">
            <v>000-00000000</v>
          </cell>
        </row>
        <row r="80">
          <cell r="A80" t="str">
            <v/>
          </cell>
          <cell r="W80">
            <v>0</v>
          </cell>
          <cell r="X80" t="str">
            <v>000-00000000</v>
          </cell>
        </row>
        <row r="81">
          <cell r="A81" t="str">
            <v/>
          </cell>
          <cell r="W81">
            <v>0</v>
          </cell>
          <cell r="X81" t="str">
            <v>000-00000000</v>
          </cell>
        </row>
        <row r="82">
          <cell r="A82" t="str">
            <v/>
          </cell>
          <cell r="W82">
            <v>0</v>
          </cell>
          <cell r="X82" t="str">
            <v>000-00000000</v>
          </cell>
        </row>
        <row r="83">
          <cell r="A83" t="str">
            <v/>
          </cell>
          <cell r="W83">
            <v>0</v>
          </cell>
          <cell r="X83" t="str">
            <v>000-00000000</v>
          </cell>
        </row>
        <row r="84">
          <cell r="A84" t="str">
            <v/>
          </cell>
          <cell r="W84">
            <v>0</v>
          </cell>
          <cell r="X84" t="str">
            <v>000-00000000</v>
          </cell>
        </row>
        <row r="85">
          <cell r="A85" t="str">
            <v/>
          </cell>
          <cell r="W85">
            <v>0</v>
          </cell>
          <cell r="X85" t="str">
            <v>000-00000000</v>
          </cell>
        </row>
        <row r="86">
          <cell r="A86" t="str">
            <v/>
          </cell>
          <cell r="W86">
            <v>0</v>
          </cell>
          <cell r="X86" t="str">
            <v>000-00000000</v>
          </cell>
        </row>
        <row r="87">
          <cell r="A87" t="str">
            <v/>
          </cell>
          <cell r="W87">
            <v>0</v>
          </cell>
          <cell r="X87" t="str">
            <v>000-00000000</v>
          </cell>
        </row>
        <row r="88">
          <cell r="A88" t="str">
            <v/>
          </cell>
          <cell r="W88">
            <v>0</v>
          </cell>
          <cell r="X88" t="str">
            <v>000-00000000</v>
          </cell>
        </row>
        <row r="89">
          <cell r="A89" t="str">
            <v/>
          </cell>
          <cell r="W89">
            <v>0</v>
          </cell>
          <cell r="X89" t="str">
            <v>000-00000000</v>
          </cell>
        </row>
        <row r="90">
          <cell r="A90" t="str">
            <v/>
          </cell>
          <cell r="W90">
            <v>0</v>
          </cell>
          <cell r="X90" t="str">
            <v>000-00000000</v>
          </cell>
        </row>
        <row r="91">
          <cell r="A91" t="str">
            <v/>
          </cell>
          <cell r="W91">
            <v>0</v>
          </cell>
          <cell r="X91" t="str">
            <v>000-00000000</v>
          </cell>
        </row>
        <row r="92">
          <cell r="A92" t="str">
            <v/>
          </cell>
          <cell r="W92">
            <v>0</v>
          </cell>
          <cell r="X92" t="str">
            <v>000-00000000</v>
          </cell>
        </row>
        <row r="93">
          <cell r="A93" t="str">
            <v/>
          </cell>
          <cell r="W93">
            <v>0</v>
          </cell>
          <cell r="X93" t="str">
            <v>000-00000000</v>
          </cell>
        </row>
        <row r="94">
          <cell r="A94" t="str">
            <v/>
          </cell>
          <cell r="W94">
            <v>0</v>
          </cell>
          <cell r="X94" t="str">
            <v>000-00000000</v>
          </cell>
        </row>
        <row r="95">
          <cell r="A95" t="str">
            <v/>
          </cell>
          <cell r="W95">
            <v>0</v>
          </cell>
          <cell r="X95" t="str">
            <v>000-00000000</v>
          </cell>
        </row>
        <row r="96">
          <cell r="A96" t="str">
            <v/>
          </cell>
          <cell r="W96">
            <v>0</v>
          </cell>
          <cell r="X96" t="str">
            <v>000-00000000</v>
          </cell>
        </row>
        <row r="97">
          <cell r="A97" t="str">
            <v/>
          </cell>
          <cell r="W97">
            <v>0</v>
          </cell>
          <cell r="X97" t="str">
            <v>000-00000000</v>
          </cell>
        </row>
        <row r="98">
          <cell r="A98" t="str">
            <v/>
          </cell>
          <cell r="W98">
            <v>0</v>
          </cell>
          <cell r="X98" t="str">
            <v>000-00000000</v>
          </cell>
        </row>
        <row r="99">
          <cell r="A99" t="str">
            <v/>
          </cell>
          <cell r="W99">
            <v>0</v>
          </cell>
          <cell r="X99" t="str">
            <v>000-00000000</v>
          </cell>
        </row>
        <row r="100">
          <cell r="A100" t="str">
            <v/>
          </cell>
          <cell r="W100">
            <v>0</v>
          </cell>
          <cell r="X100" t="str">
            <v>000-00000000</v>
          </cell>
        </row>
        <row r="101">
          <cell r="A101" t="str">
            <v/>
          </cell>
          <cell r="W101">
            <v>0</v>
          </cell>
          <cell r="X101" t="str">
            <v>000-00000000</v>
          </cell>
        </row>
        <row r="102">
          <cell r="A102" t="str">
            <v/>
          </cell>
          <cell r="W102">
            <v>0</v>
          </cell>
          <cell r="X102" t="str">
            <v>000-00000000</v>
          </cell>
        </row>
        <row r="103">
          <cell r="A103" t="str">
            <v/>
          </cell>
          <cell r="W103">
            <v>0</v>
          </cell>
          <cell r="X103" t="str">
            <v>000-00000000</v>
          </cell>
        </row>
        <row r="104">
          <cell r="A104" t="str">
            <v/>
          </cell>
          <cell r="W104">
            <v>0</v>
          </cell>
          <cell r="X104" t="str">
            <v>000-00000000</v>
          </cell>
        </row>
        <row r="105">
          <cell r="A105" t="str">
            <v/>
          </cell>
          <cell r="W105">
            <v>0</v>
          </cell>
          <cell r="X105" t="str">
            <v>000-00000000</v>
          </cell>
        </row>
        <row r="106">
          <cell r="A106" t="str">
            <v/>
          </cell>
          <cell r="W106">
            <v>0</v>
          </cell>
          <cell r="X106" t="str">
            <v>000-00000000</v>
          </cell>
        </row>
        <row r="107">
          <cell r="A107" t="str">
            <v/>
          </cell>
          <cell r="W107">
            <v>0</v>
          </cell>
          <cell r="X107" t="str">
            <v>000-00000000</v>
          </cell>
        </row>
        <row r="108">
          <cell r="A108" t="str">
            <v/>
          </cell>
          <cell r="W108">
            <v>0</v>
          </cell>
          <cell r="X108" t="str">
            <v>000-00000000</v>
          </cell>
        </row>
        <row r="109">
          <cell r="A109" t="str">
            <v/>
          </cell>
          <cell r="W109">
            <v>0</v>
          </cell>
          <cell r="X109" t="str">
            <v>000-00000000</v>
          </cell>
        </row>
        <row r="110">
          <cell r="A110" t="str">
            <v/>
          </cell>
          <cell r="W110">
            <v>0</v>
          </cell>
          <cell r="X110" t="str">
            <v>000-00000000</v>
          </cell>
        </row>
        <row r="111">
          <cell r="A111" t="str">
            <v/>
          </cell>
          <cell r="W111">
            <v>0</v>
          </cell>
          <cell r="X111" t="str">
            <v>000-00000000</v>
          </cell>
        </row>
        <row r="112">
          <cell r="A112" t="str">
            <v/>
          </cell>
          <cell r="W112">
            <v>0</v>
          </cell>
          <cell r="X112" t="str">
            <v>000-00000000</v>
          </cell>
        </row>
        <row r="113">
          <cell r="A113" t="str">
            <v/>
          </cell>
          <cell r="W113">
            <v>0</v>
          </cell>
          <cell r="X113" t="str">
            <v>000-00000000</v>
          </cell>
        </row>
        <row r="114">
          <cell r="A114" t="str">
            <v/>
          </cell>
          <cell r="W114">
            <v>0</v>
          </cell>
          <cell r="X114" t="str">
            <v>000-00000000</v>
          </cell>
        </row>
        <row r="115">
          <cell r="A115" t="str">
            <v/>
          </cell>
          <cell r="W115">
            <v>0</v>
          </cell>
          <cell r="X115" t="str">
            <v>000-00000000</v>
          </cell>
        </row>
        <row r="116">
          <cell r="A116" t="str">
            <v/>
          </cell>
          <cell r="W116">
            <v>0</v>
          </cell>
          <cell r="X116" t="str">
            <v>000-00000000</v>
          </cell>
        </row>
        <row r="117">
          <cell r="A117" t="str">
            <v/>
          </cell>
          <cell r="W117">
            <v>0</v>
          </cell>
          <cell r="X117" t="str">
            <v>000-00000000</v>
          </cell>
        </row>
        <row r="118">
          <cell r="A118" t="str">
            <v/>
          </cell>
          <cell r="W118">
            <v>0</v>
          </cell>
          <cell r="X118" t="str">
            <v>000-00000000</v>
          </cell>
        </row>
        <row r="119">
          <cell r="A119" t="str">
            <v/>
          </cell>
          <cell r="W119">
            <v>0</v>
          </cell>
          <cell r="X119" t="str">
            <v>000-00000000</v>
          </cell>
        </row>
        <row r="120">
          <cell r="A120" t="str">
            <v/>
          </cell>
          <cell r="W120">
            <v>0</v>
          </cell>
          <cell r="X120" t="str">
            <v>000-00000000</v>
          </cell>
        </row>
        <row r="121">
          <cell r="A121" t="str">
            <v/>
          </cell>
          <cell r="W121">
            <v>0</v>
          </cell>
          <cell r="X121" t="str">
            <v>000-00000000</v>
          </cell>
        </row>
        <row r="122">
          <cell r="A122" t="str">
            <v/>
          </cell>
          <cell r="W122">
            <v>0</v>
          </cell>
          <cell r="X122" t="str">
            <v>000-00000000</v>
          </cell>
        </row>
        <row r="123">
          <cell r="A123" t="str">
            <v/>
          </cell>
          <cell r="W123">
            <v>0</v>
          </cell>
          <cell r="X123" t="str">
            <v>000-00000000</v>
          </cell>
        </row>
        <row r="124">
          <cell r="A124" t="str">
            <v/>
          </cell>
          <cell r="W124">
            <v>0</v>
          </cell>
          <cell r="X124" t="str">
            <v>000-00000000</v>
          </cell>
        </row>
        <row r="125">
          <cell r="A125" t="str">
            <v/>
          </cell>
          <cell r="W125">
            <v>0</v>
          </cell>
          <cell r="X125" t="str">
            <v>000-00000000</v>
          </cell>
        </row>
        <row r="126">
          <cell r="A126" t="str">
            <v/>
          </cell>
          <cell r="W126">
            <v>0</v>
          </cell>
          <cell r="X126" t="str">
            <v>000-00000000</v>
          </cell>
        </row>
        <row r="127">
          <cell r="A127" t="str">
            <v/>
          </cell>
          <cell r="W127">
            <v>0</v>
          </cell>
          <cell r="X127" t="str">
            <v>000-00000000</v>
          </cell>
        </row>
        <row r="128">
          <cell r="A128" t="str">
            <v/>
          </cell>
          <cell r="W128">
            <v>0</v>
          </cell>
          <cell r="X128" t="str">
            <v>000-00000000</v>
          </cell>
        </row>
        <row r="129">
          <cell r="A129" t="str">
            <v/>
          </cell>
          <cell r="W129">
            <v>0</v>
          </cell>
          <cell r="X129" t="str">
            <v>000-00000000</v>
          </cell>
        </row>
        <row r="130">
          <cell r="A130" t="str">
            <v/>
          </cell>
          <cell r="W130">
            <v>0</v>
          </cell>
          <cell r="X130" t="str">
            <v>000-00000000</v>
          </cell>
        </row>
        <row r="131">
          <cell r="A131" t="str">
            <v/>
          </cell>
          <cell r="W131">
            <v>0</v>
          </cell>
          <cell r="X131" t="str">
            <v>000-00000000</v>
          </cell>
        </row>
        <row r="132">
          <cell r="A132" t="str">
            <v/>
          </cell>
          <cell r="W132">
            <v>0</v>
          </cell>
          <cell r="X132" t="str">
            <v>000-00000000</v>
          </cell>
        </row>
        <row r="133">
          <cell r="A133" t="str">
            <v/>
          </cell>
          <cell r="W133">
            <v>0</v>
          </cell>
          <cell r="X133" t="str">
            <v>000-00000000</v>
          </cell>
        </row>
        <row r="134">
          <cell r="A134" t="str">
            <v/>
          </cell>
          <cell r="W134">
            <v>0</v>
          </cell>
          <cell r="X134" t="str">
            <v>000-00000000</v>
          </cell>
        </row>
        <row r="135">
          <cell r="A135" t="str">
            <v/>
          </cell>
          <cell r="W135">
            <v>0</v>
          </cell>
          <cell r="X135" t="str">
            <v>000-00000000</v>
          </cell>
        </row>
        <row r="136">
          <cell r="A136" t="str">
            <v/>
          </cell>
          <cell r="W136">
            <v>0</v>
          </cell>
          <cell r="X136" t="str">
            <v>000-00000000</v>
          </cell>
        </row>
        <row r="137">
          <cell r="A137" t="str">
            <v/>
          </cell>
          <cell r="W137">
            <v>0</v>
          </cell>
          <cell r="X137" t="str">
            <v>000-00000000</v>
          </cell>
        </row>
        <row r="138">
          <cell r="A138" t="str">
            <v/>
          </cell>
          <cell r="W138">
            <v>0</v>
          </cell>
          <cell r="X138" t="str">
            <v>000-00000000</v>
          </cell>
        </row>
        <row r="139">
          <cell r="A139" t="str">
            <v/>
          </cell>
          <cell r="W139">
            <v>0</v>
          </cell>
          <cell r="X139" t="str">
            <v>000-00000000</v>
          </cell>
        </row>
        <row r="140">
          <cell r="A140" t="str">
            <v/>
          </cell>
          <cell r="W140">
            <v>0</v>
          </cell>
          <cell r="X140" t="str">
            <v>000-00000000</v>
          </cell>
        </row>
        <row r="141">
          <cell r="A141" t="str">
            <v/>
          </cell>
          <cell r="W141">
            <v>0</v>
          </cell>
          <cell r="X141" t="str">
            <v>000-00000000</v>
          </cell>
        </row>
        <row r="142">
          <cell r="A142" t="str">
            <v/>
          </cell>
          <cell r="W142">
            <v>0</v>
          </cell>
          <cell r="X142" t="str">
            <v>000-00000000</v>
          </cell>
        </row>
        <row r="143">
          <cell r="A143" t="str">
            <v/>
          </cell>
          <cell r="W143">
            <v>0</v>
          </cell>
          <cell r="X143" t="str">
            <v>000-00000000</v>
          </cell>
        </row>
        <row r="144">
          <cell r="A144" t="str">
            <v/>
          </cell>
          <cell r="W144">
            <v>0</v>
          </cell>
          <cell r="X144" t="str">
            <v>000-00000000</v>
          </cell>
        </row>
        <row r="145">
          <cell r="A145" t="str">
            <v/>
          </cell>
          <cell r="W145">
            <v>0</v>
          </cell>
          <cell r="X145" t="str">
            <v>000-00000000</v>
          </cell>
        </row>
        <row r="146">
          <cell r="A146" t="str">
            <v/>
          </cell>
          <cell r="W146">
            <v>0</v>
          </cell>
          <cell r="X146" t="str">
            <v>000-00000000</v>
          </cell>
        </row>
        <row r="147">
          <cell r="A147" t="str">
            <v/>
          </cell>
          <cell r="W147">
            <v>0</v>
          </cell>
          <cell r="X147" t="str">
            <v>000-00000000</v>
          </cell>
        </row>
        <row r="148">
          <cell r="A148" t="str">
            <v/>
          </cell>
          <cell r="W148">
            <v>0</v>
          </cell>
          <cell r="X148" t="str">
            <v>000-00000000</v>
          </cell>
        </row>
        <row r="149">
          <cell r="A149" t="str">
            <v/>
          </cell>
          <cell r="W149">
            <v>0</v>
          </cell>
          <cell r="X149" t="str">
            <v>000-00000000</v>
          </cell>
        </row>
        <row r="150">
          <cell r="A150" t="str">
            <v/>
          </cell>
          <cell r="W150">
            <v>0</v>
          </cell>
          <cell r="X150" t="str">
            <v>000-00000000</v>
          </cell>
        </row>
        <row r="151">
          <cell r="A151" t="str">
            <v/>
          </cell>
          <cell r="W151">
            <v>0</v>
          </cell>
          <cell r="X151" t="str">
            <v>000-00000000</v>
          </cell>
        </row>
        <row r="152">
          <cell r="A152" t="str">
            <v/>
          </cell>
          <cell r="W152">
            <v>0</v>
          </cell>
          <cell r="X152" t="str">
            <v>000-00000000</v>
          </cell>
        </row>
        <row r="153">
          <cell r="A153" t="str">
            <v/>
          </cell>
          <cell r="W153">
            <v>0</v>
          </cell>
          <cell r="X153" t="str">
            <v>000-00000000</v>
          </cell>
        </row>
        <row r="154">
          <cell r="A154" t="str">
            <v/>
          </cell>
          <cell r="W154">
            <v>0</v>
          </cell>
          <cell r="X154" t="str">
            <v>000-00000000</v>
          </cell>
        </row>
        <row r="155">
          <cell r="A155" t="str">
            <v/>
          </cell>
          <cell r="W155">
            <v>0</v>
          </cell>
          <cell r="X155" t="str">
            <v>000-00000000</v>
          </cell>
        </row>
        <row r="156">
          <cell r="A156" t="str">
            <v/>
          </cell>
          <cell r="W156">
            <v>0</v>
          </cell>
          <cell r="X156" t="str">
            <v>000-00000000</v>
          </cell>
        </row>
        <row r="157">
          <cell r="A157" t="str">
            <v/>
          </cell>
          <cell r="W157">
            <v>0</v>
          </cell>
          <cell r="X157" t="str">
            <v>000-00000000</v>
          </cell>
        </row>
        <row r="158">
          <cell r="A158" t="str">
            <v/>
          </cell>
          <cell r="W158">
            <v>0</v>
          </cell>
          <cell r="X158" t="str">
            <v>000-00000000</v>
          </cell>
        </row>
        <row r="159">
          <cell r="A159" t="str">
            <v/>
          </cell>
          <cell r="W159">
            <v>0</v>
          </cell>
          <cell r="X159" t="str">
            <v>000-00000000</v>
          </cell>
        </row>
        <row r="160">
          <cell r="A160" t="str">
            <v/>
          </cell>
          <cell r="W160">
            <v>0</v>
          </cell>
          <cell r="X160" t="str">
            <v>000-00000000</v>
          </cell>
        </row>
        <row r="161">
          <cell r="A161" t="str">
            <v/>
          </cell>
          <cell r="W161">
            <v>0</v>
          </cell>
          <cell r="X161" t="str">
            <v>000-00000000</v>
          </cell>
        </row>
        <row r="162">
          <cell r="A162" t="str">
            <v/>
          </cell>
          <cell r="W162">
            <v>0</v>
          </cell>
          <cell r="X162" t="str">
            <v>000-00000000</v>
          </cell>
        </row>
        <row r="163">
          <cell r="A163" t="str">
            <v/>
          </cell>
          <cell r="W163">
            <v>0</v>
          </cell>
          <cell r="X163" t="str">
            <v>000-00000000</v>
          </cell>
        </row>
        <row r="164">
          <cell r="A164" t="str">
            <v/>
          </cell>
          <cell r="W164">
            <v>0</v>
          </cell>
          <cell r="X164" t="str">
            <v>000-00000000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Q75"/>
  <sheetViews>
    <sheetView tabSelected="1" workbookViewId="0">
      <selection activeCell="G8" sqref="G8"/>
    </sheetView>
  </sheetViews>
  <sheetFormatPr baseColWidth="10" defaultRowHeight="15" x14ac:dyDescent="0.25"/>
  <cols>
    <col min="3" max="3" width="13" customWidth="1"/>
    <col min="4" max="4" width="24.5703125" customWidth="1"/>
    <col min="5" max="5" width="13.5703125" customWidth="1"/>
    <col min="6" max="6" width="15.7109375" customWidth="1"/>
    <col min="7" max="7" width="17.28515625" style="4" customWidth="1"/>
    <col min="8" max="8" width="13.85546875" customWidth="1"/>
    <col min="9" max="9" width="30.85546875" customWidth="1"/>
    <col min="10" max="10" width="18.42578125" customWidth="1"/>
    <col min="11" max="11" width="20.7109375" customWidth="1"/>
    <col min="12" max="12" width="14.42578125" customWidth="1"/>
    <col min="14" max="14" width="13.5703125" customWidth="1"/>
  </cols>
  <sheetData>
    <row r="1" spans="1:17" ht="19.5" thickBot="1" x14ac:dyDescent="0.35">
      <c r="A1" s="3" t="s">
        <v>25</v>
      </c>
    </row>
    <row r="2" spans="1:17" ht="15.75" x14ac:dyDescent="0.25">
      <c r="L2" s="53">
        <v>2312.62</v>
      </c>
      <c r="M2" s="48" t="s">
        <v>82</v>
      </c>
      <c r="N2" s="49"/>
    </row>
    <row r="3" spans="1:17" ht="16.5" thickBot="1" x14ac:dyDescent="0.3">
      <c r="L3" s="50">
        <v>17</v>
      </c>
      <c r="M3" s="51" t="s">
        <v>83</v>
      </c>
      <c r="N3" s="52"/>
    </row>
    <row r="4" spans="1:17" ht="15.75" thickBot="1" x14ac:dyDescent="0.3">
      <c r="B4" s="6" t="s">
        <v>2</v>
      </c>
      <c r="D4" s="6" t="s">
        <v>1</v>
      </c>
      <c r="F4" s="6" t="s">
        <v>22</v>
      </c>
      <c r="H4" s="2" t="s">
        <v>23</v>
      </c>
    </row>
    <row r="5" spans="1:17" ht="15.75" x14ac:dyDescent="0.25">
      <c r="L5" s="53">
        <v>3000</v>
      </c>
      <c r="M5" s="48" t="s">
        <v>147</v>
      </c>
      <c r="N5" s="49"/>
    </row>
    <row r="6" spans="1:17" ht="15.75" x14ac:dyDescent="0.25">
      <c r="L6" s="55"/>
      <c r="M6" s="54" t="s">
        <v>148</v>
      </c>
      <c r="N6" s="56"/>
    </row>
    <row r="7" spans="1:17" ht="15.75" x14ac:dyDescent="0.25">
      <c r="L7" s="57"/>
      <c r="M7" s="54" t="s">
        <v>157</v>
      </c>
      <c r="N7" s="56"/>
    </row>
    <row r="8" spans="1:17" ht="15.75" x14ac:dyDescent="0.25">
      <c r="L8" s="57"/>
      <c r="M8" s="54" t="s">
        <v>158</v>
      </c>
      <c r="N8" s="56"/>
    </row>
    <row r="9" spans="1:17" ht="16.5" thickBot="1" x14ac:dyDescent="0.3">
      <c r="F9" s="1"/>
      <c r="G9" s="5"/>
      <c r="L9" s="50"/>
      <c r="M9" s="51" t="s">
        <v>156</v>
      </c>
      <c r="N9" s="52"/>
    </row>
    <row r="10" spans="1:17" x14ac:dyDescent="0.25">
      <c r="C10" s="1"/>
      <c r="F10" s="1"/>
      <c r="G10" s="5"/>
    </row>
    <row r="11" spans="1:17" x14ac:dyDescent="0.25">
      <c r="C11" s="1"/>
      <c r="F11" s="1"/>
      <c r="G11" s="5"/>
    </row>
    <row r="12" spans="1:17" ht="15.75" x14ac:dyDescent="0.25">
      <c r="C12" s="1"/>
      <c r="F12" s="1"/>
      <c r="G12" s="5"/>
      <c r="M12" s="54"/>
    </row>
    <row r="13" spans="1:17" x14ac:dyDescent="0.25">
      <c r="C13" s="1"/>
      <c r="F13" s="1"/>
      <c r="G13" s="5"/>
    </row>
    <row r="14" spans="1:17" x14ac:dyDescent="0.25">
      <c r="C14" s="1"/>
      <c r="F14" s="1"/>
      <c r="G14" s="5"/>
    </row>
    <row r="15" spans="1:17" s="2" customFormat="1" x14ac:dyDescent="0.25">
      <c r="A15" s="2" t="s">
        <v>0</v>
      </c>
      <c r="B15" s="2" t="s">
        <v>27</v>
      </c>
      <c r="C15" s="7" t="s">
        <v>1</v>
      </c>
      <c r="D15" s="2" t="s">
        <v>2</v>
      </c>
      <c r="E15" s="2" t="s">
        <v>3</v>
      </c>
      <c r="F15" s="7" t="s">
        <v>4</v>
      </c>
      <c r="G15" s="6" t="s">
        <v>5</v>
      </c>
      <c r="H15" s="2" t="s">
        <v>6</v>
      </c>
      <c r="I15" s="2" t="s">
        <v>7</v>
      </c>
      <c r="J15" s="2" t="s">
        <v>8</v>
      </c>
      <c r="K15" s="2" t="s">
        <v>9</v>
      </c>
      <c r="L15" s="2" t="s">
        <v>10</v>
      </c>
      <c r="M15" s="2" t="s">
        <v>11</v>
      </c>
      <c r="N15" s="2" t="s">
        <v>12</v>
      </c>
      <c r="O15" s="2" t="s">
        <v>13</v>
      </c>
      <c r="P15" s="2" t="s">
        <v>14</v>
      </c>
      <c r="Q15" s="2" t="s">
        <v>28</v>
      </c>
    </row>
    <row r="16" spans="1:17" x14ac:dyDescent="0.25">
      <c r="A16" t="s">
        <v>84</v>
      </c>
      <c r="C16" s="1" t="s">
        <v>85</v>
      </c>
      <c r="D16" t="s">
        <v>29</v>
      </c>
      <c r="E16" t="s">
        <v>149</v>
      </c>
      <c r="F16" s="1">
        <v>45434.556250000001</v>
      </c>
      <c r="G16" s="4" t="s">
        <v>35</v>
      </c>
      <c r="H16">
        <v>10235425241</v>
      </c>
      <c r="I16" t="s">
        <v>86</v>
      </c>
      <c r="J16" t="s">
        <v>87</v>
      </c>
      <c r="K16">
        <v>470</v>
      </c>
      <c r="L16" t="s">
        <v>88</v>
      </c>
      <c r="M16" t="s">
        <v>89</v>
      </c>
      <c r="N16" t="s">
        <v>18</v>
      </c>
      <c r="O16" t="s">
        <v>17</v>
      </c>
      <c r="P16">
        <v>30</v>
      </c>
      <c r="Q16" t="s">
        <v>90</v>
      </c>
    </row>
    <row r="17" spans="1:17" x14ac:dyDescent="0.25">
      <c r="A17" t="s">
        <v>91</v>
      </c>
      <c r="C17" s="1" t="s">
        <v>85</v>
      </c>
      <c r="D17" t="s">
        <v>29</v>
      </c>
      <c r="E17" t="s">
        <v>149</v>
      </c>
      <c r="F17" s="1">
        <v>45413.625</v>
      </c>
      <c r="G17" s="4" t="s">
        <v>15</v>
      </c>
      <c r="H17">
        <v>20494478332</v>
      </c>
      <c r="I17" t="s">
        <v>92</v>
      </c>
      <c r="J17" t="s">
        <v>40</v>
      </c>
      <c r="K17">
        <v>78222</v>
      </c>
      <c r="L17" t="s">
        <v>93</v>
      </c>
      <c r="M17" t="s">
        <v>94</v>
      </c>
      <c r="N17" t="s">
        <v>18</v>
      </c>
      <c r="O17" t="s">
        <v>17</v>
      </c>
      <c r="P17">
        <v>133</v>
      </c>
      <c r="Q17" t="s">
        <v>95</v>
      </c>
    </row>
    <row r="18" spans="1:17" x14ac:dyDescent="0.25">
      <c r="A18" t="s">
        <v>150</v>
      </c>
      <c r="C18" s="1" t="s">
        <v>85</v>
      </c>
      <c r="D18" t="s">
        <v>29</v>
      </c>
      <c r="E18" t="s">
        <v>149</v>
      </c>
      <c r="F18" s="1">
        <v>45413.25</v>
      </c>
      <c r="G18" s="4" t="s">
        <v>15</v>
      </c>
      <c r="H18">
        <v>20136424867</v>
      </c>
      <c r="I18" t="s">
        <v>43</v>
      </c>
      <c r="J18" t="s">
        <v>44</v>
      </c>
      <c r="K18">
        <v>20436</v>
      </c>
      <c r="L18" t="s">
        <v>151</v>
      </c>
      <c r="M18" t="s">
        <v>41</v>
      </c>
      <c r="N18" t="s">
        <v>26</v>
      </c>
      <c r="O18" t="s">
        <v>17</v>
      </c>
      <c r="P18">
        <v>507.86</v>
      </c>
      <c r="Q18" t="s">
        <v>152</v>
      </c>
    </row>
    <row r="19" spans="1:17" x14ac:dyDescent="0.25">
      <c r="A19" t="s">
        <v>153</v>
      </c>
      <c r="C19" s="1" t="s">
        <v>85</v>
      </c>
      <c r="D19" t="s">
        <v>29</v>
      </c>
      <c r="E19" t="s">
        <v>149</v>
      </c>
      <c r="F19" s="1">
        <v>45413.25</v>
      </c>
      <c r="G19" s="4" t="s">
        <v>15</v>
      </c>
      <c r="H19">
        <v>20136424867</v>
      </c>
      <c r="I19" t="s">
        <v>43</v>
      </c>
      <c r="J19" t="s">
        <v>44</v>
      </c>
      <c r="K19">
        <v>20439</v>
      </c>
      <c r="L19" t="s">
        <v>154</v>
      </c>
      <c r="M19" t="s">
        <v>42</v>
      </c>
      <c r="N19" t="s">
        <v>26</v>
      </c>
      <c r="O19" t="s">
        <v>17</v>
      </c>
      <c r="P19">
        <v>507.86</v>
      </c>
      <c r="Q19" t="s">
        <v>155</v>
      </c>
    </row>
    <row r="20" spans="1:17" x14ac:dyDescent="0.25">
      <c r="A20" t="s">
        <v>100</v>
      </c>
      <c r="C20" s="1" t="s">
        <v>85</v>
      </c>
      <c r="D20" t="s">
        <v>29</v>
      </c>
      <c r="E20" t="s">
        <v>149</v>
      </c>
      <c r="F20" s="1">
        <v>45413.875</v>
      </c>
      <c r="G20" s="4" t="s">
        <v>15</v>
      </c>
      <c r="H20">
        <v>20608381393</v>
      </c>
      <c r="I20" t="s">
        <v>101</v>
      </c>
      <c r="J20" t="s">
        <v>39</v>
      </c>
      <c r="K20">
        <v>493</v>
      </c>
      <c r="L20" t="s">
        <v>102</v>
      </c>
      <c r="M20" t="s">
        <v>42</v>
      </c>
      <c r="N20" t="s">
        <v>18</v>
      </c>
      <c r="O20" t="s">
        <v>17</v>
      </c>
      <c r="P20">
        <v>9.1</v>
      </c>
      <c r="Q20" t="s">
        <v>103</v>
      </c>
    </row>
    <row r="21" spans="1:17" x14ac:dyDescent="0.25">
      <c r="A21" t="s">
        <v>96</v>
      </c>
      <c r="C21" s="1" t="s">
        <v>85</v>
      </c>
      <c r="D21" t="s">
        <v>29</v>
      </c>
      <c r="E21" t="s">
        <v>149</v>
      </c>
      <c r="F21" s="1">
        <v>45413.25</v>
      </c>
      <c r="G21" s="4" t="s">
        <v>15</v>
      </c>
      <c r="H21">
        <v>20136424867</v>
      </c>
      <c r="I21" t="s">
        <v>97</v>
      </c>
      <c r="J21" t="s">
        <v>44</v>
      </c>
      <c r="K21">
        <v>20442</v>
      </c>
      <c r="L21" t="s">
        <v>98</v>
      </c>
      <c r="M21" t="s">
        <v>42</v>
      </c>
      <c r="N21" t="s">
        <v>18</v>
      </c>
      <c r="O21" t="s">
        <v>17</v>
      </c>
      <c r="P21">
        <v>51</v>
      </c>
      <c r="Q21" t="s">
        <v>99</v>
      </c>
    </row>
    <row r="22" spans="1:17" x14ac:dyDescent="0.25">
      <c r="A22" t="s">
        <v>104</v>
      </c>
      <c r="C22" s="1" t="s">
        <v>85</v>
      </c>
      <c r="D22" t="s">
        <v>29</v>
      </c>
      <c r="E22" t="s">
        <v>149</v>
      </c>
      <c r="F22" s="1">
        <v>45414.458333333336</v>
      </c>
      <c r="G22" s="4" t="s">
        <v>15</v>
      </c>
      <c r="H22">
        <v>20534249960</v>
      </c>
      <c r="I22" t="s">
        <v>45</v>
      </c>
      <c r="J22" t="s">
        <v>46</v>
      </c>
      <c r="K22">
        <v>383</v>
      </c>
      <c r="L22" t="s">
        <v>38</v>
      </c>
      <c r="M22" t="s">
        <v>105</v>
      </c>
      <c r="N22" t="s">
        <v>21</v>
      </c>
      <c r="O22" t="s">
        <v>17</v>
      </c>
      <c r="P22">
        <v>150</v>
      </c>
      <c r="Q22" t="s">
        <v>106</v>
      </c>
    </row>
    <row r="23" spans="1:17" x14ac:dyDescent="0.25">
      <c r="A23" t="s">
        <v>107</v>
      </c>
      <c r="C23" s="1" t="s">
        <v>85</v>
      </c>
      <c r="D23" t="s">
        <v>29</v>
      </c>
      <c r="E23" t="s">
        <v>149</v>
      </c>
      <c r="F23" s="1">
        <v>45414.25</v>
      </c>
      <c r="G23" s="4" t="s">
        <v>35</v>
      </c>
      <c r="H23">
        <v>10405340483</v>
      </c>
      <c r="I23" t="s">
        <v>47</v>
      </c>
      <c r="J23">
        <v>1</v>
      </c>
      <c r="K23">
        <v>191</v>
      </c>
      <c r="L23" t="s">
        <v>108</v>
      </c>
      <c r="M23" t="s">
        <v>48</v>
      </c>
      <c r="N23" t="s">
        <v>26</v>
      </c>
      <c r="O23" t="s">
        <v>17</v>
      </c>
      <c r="P23">
        <v>150</v>
      </c>
      <c r="Q23" t="s">
        <v>109</v>
      </c>
    </row>
    <row r="24" spans="1:17" x14ac:dyDescent="0.25">
      <c r="A24" t="s">
        <v>110</v>
      </c>
      <c r="C24" s="1" t="s">
        <v>85</v>
      </c>
      <c r="D24" t="s">
        <v>29</v>
      </c>
      <c r="E24" t="s">
        <v>149</v>
      </c>
      <c r="F24" s="1">
        <v>45414.75</v>
      </c>
      <c r="G24" s="4" t="s">
        <v>35</v>
      </c>
      <c r="H24">
        <v>10700891530</v>
      </c>
      <c r="I24" t="s">
        <v>111</v>
      </c>
      <c r="J24">
        <v>1</v>
      </c>
      <c r="K24">
        <v>3976</v>
      </c>
      <c r="L24" t="s">
        <v>112</v>
      </c>
      <c r="M24" t="s">
        <v>36</v>
      </c>
      <c r="N24" t="s">
        <v>18</v>
      </c>
      <c r="O24" t="s">
        <v>17</v>
      </c>
      <c r="P24">
        <v>49.5</v>
      </c>
      <c r="Q24" t="s">
        <v>113</v>
      </c>
    </row>
    <row r="25" spans="1:17" x14ac:dyDescent="0.25">
      <c r="A25" t="s">
        <v>114</v>
      </c>
      <c r="C25" s="1" t="s">
        <v>85</v>
      </c>
      <c r="D25" t="s">
        <v>29</v>
      </c>
      <c r="E25" t="s">
        <v>149</v>
      </c>
      <c r="F25" s="1">
        <v>45415.541666666664</v>
      </c>
      <c r="G25" s="4" t="s">
        <v>15</v>
      </c>
      <c r="H25">
        <v>20602969780</v>
      </c>
      <c r="I25" t="s">
        <v>115</v>
      </c>
      <c r="J25" t="s">
        <v>116</v>
      </c>
      <c r="K25">
        <v>27126</v>
      </c>
      <c r="L25" t="s">
        <v>51</v>
      </c>
      <c r="M25" t="s">
        <v>117</v>
      </c>
      <c r="N25" t="s">
        <v>18</v>
      </c>
      <c r="O25" t="s">
        <v>17</v>
      </c>
      <c r="P25">
        <v>101</v>
      </c>
      <c r="Q25" t="s">
        <v>118</v>
      </c>
    </row>
    <row r="26" spans="1:17" x14ac:dyDescent="0.25">
      <c r="A26" t="s">
        <v>119</v>
      </c>
      <c r="C26" s="1" t="s">
        <v>85</v>
      </c>
      <c r="D26" t="s">
        <v>29</v>
      </c>
      <c r="E26" t="s">
        <v>149</v>
      </c>
      <c r="F26" s="1">
        <v>45415.977777777778</v>
      </c>
      <c r="G26" s="4" t="s">
        <v>15</v>
      </c>
      <c r="H26">
        <v>20511465061</v>
      </c>
      <c r="I26" t="s">
        <v>34</v>
      </c>
      <c r="J26" t="s">
        <v>120</v>
      </c>
      <c r="K26">
        <v>2482932</v>
      </c>
      <c r="L26" t="s">
        <v>121</v>
      </c>
      <c r="M26" t="s">
        <v>122</v>
      </c>
      <c r="N26" t="s">
        <v>24</v>
      </c>
      <c r="O26" t="s">
        <v>17</v>
      </c>
      <c r="P26">
        <v>18.8</v>
      </c>
      <c r="Q26" t="s">
        <v>123</v>
      </c>
    </row>
    <row r="27" spans="1:17" x14ac:dyDescent="0.25">
      <c r="A27" t="s">
        <v>124</v>
      </c>
      <c r="C27" t="s">
        <v>85</v>
      </c>
      <c r="D27" t="s">
        <v>29</v>
      </c>
      <c r="E27" t="s">
        <v>149</v>
      </c>
      <c r="F27" s="1">
        <v>45415.592361111114</v>
      </c>
      <c r="G27" s="4" t="s">
        <v>15</v>
      </c>
      <c r="H27">
        <v>20550372640</v>
      </c>
      <c r="I27" t="s">
        <v>32</v>
      </c>
      <c r="J27" t="s">
        <v>125</v>
      </c>
      <c r="K27">
        <v>1334154</v>
      </c>
      <c r="L27" t="s">
        <v>121</v>
      </c>
      <c r="M27" t="s">
        <v>126</v>
      </c>
      <c r="N27" t="s">
        <v>24</v>
      </c>
      <c r="O27" t="s">
        <v>17</v>
      </c>
      <c r="P27">
        <v>7.5</v>
      </c>
      <c r="Q27" t="s">
        <v>127</v>
      </c>
    </row>
    <row r="28" spans="1:17" x14ac:dyDescent="0.25">
      <c r="A28" t="s">
        <v>128</v>
      </c>
      <c r="C28" t="s">
        <v>85</v>
      </c>
      <c r="D28" t="s">
        <v>29</v>
      </c>
      <c r="E28" t="s">
        <v>149</v>
      </c>
      <c r="F28" s="1">
        <v>45415.708333333336</v>
      </c>
      <c r="G28" s="4" t="s">
        <v>15</v>
      </c>
      <c r="H28">
        <v>20507661441</v>
      </c>
      <c r="I28" t="s">
        <v>129</v>
      </c>
      <c r="J28" t="s">
        <v>130</v>
      </c>
      <c r="K28">
        <v>26984</v>
      </c>
      <c r="L28" t="s">
        <v>131</v>
      </c>
      <c r="M28" t="s">
        <v>132</v>
      </c>
      <c r="N28" t="s">
        <v>18</v>
      </c>
      <c r="O28" t="s">
        <v>17</v>
      </c>
      <c r="P28">
        <v>22</v>
      </c>
      <c r="Q28" t="s">
        <v>133</v>
      </c>
    </row>
    <row r="29" spans="1:17" x14ac:dyDescent="0.25">
      <c r="A29" t="s">
        <v>134</v>
      </c>
      <c r="C29" t="s">
        <v>85</v>
      </c>
      <c r="D29" t="s">
        <v>29</v>
      </c>
      <c r="E29" t="s">
        <v>149</v>
      </c>
      <c r="F29" s="1">
        <v>45414.583333333336</v>
      </c>
      <c r="G29" s="4" t="s">
        <v>49</v>
      </c>
      <c r="K29">
        <v>0</v>
      </c>
      <c r="L29" t="s">
        <v>135</v>
      </c>
      <c r="M29" t="s">
        <v>42</v>
      </c>
      <c r="N29" t="s">
        <v>37</v>
      </c>
      <c r="O29" t="s">
        <v>17</v>
      </c>
      <c r="P29">
        <v>320</v>
      </c>
      <c r="Q29" t="s">
        <v>50</v>
      </c>
    </row>
    <row r="30" spans="1:17" x14ac:dyDescent="0.25">
      <c r="A30" t="s">
        <v>136</v>
      </c>
      <c r="C30" t="s">
        <v>85</v>
      </c>
      <c r="D30" t="s">
        <v>29</v>
      </c>
      <c r="E30" t="s">
        <v>149</v>
      </c>
      <c r="F30" s="1">
        <v>45415.25</v>
      </c>
      <c r="G30" s="4" t="s">
        <v>15</v>
      </c>
      <c r="H30">
        <v>20604313148</v>
      </c>
      <c r="I30" t="s">
        <v>137</v>
      </c>
      <c r="J30" t="s">
        <v>20</v>
      </c>
      <c r="K30">
        <v>2985</v>
      </c>
      <c r="L30" t="s">
        <v>138</v>
      </c>
      <c r="M30" t="s">
        <v>36</v>
      </c>
      <c r="N30" t="s">
        <v>26</v>
      </c>
      <c r="O30" t="s">
        <v>17</v>
      </c>
      <c r="P30">
        <v>200</v>
      </c>
      <c r="Q30" t="s">
        <v>139</v>
      </c>
    </row>
    <row r="31" spans="1:17" x14ac:dyDescent="0.25">
      <c r="A31" t="s">
        <v>140</v>
      </c>
      <c r="C31" t="s">
        <v>85</v>
      </c>
      <c r="D31" t="s">
        <v>29</v>
      </c>
      <c r="E31" t="s">
        <v>149</v>
      </c>
      <c r="F31" s="1">
        <v>45415.583333333336</v>
      </c>
      <c r="G31" s="4" t="s">
        <v>15</v>
      </c>
      <c r="H31">
        <v>20605110381</v>
      </c>
      <c r="I31" t="s">
        <v>141</v>
      </c>
      <c r="J31" t="s">
        <v>16</v>
      </c>
      <c r="K31">
        <v>2990</v>
      </c>
      <c r="L31" t="s">
        <v>142</v>
      </c>
      <c r="M31" t="s">
        <v>33</v>
      </c>
      <c r="N31" t="s">
        <v>37</v>
      </c>
      <c r="O31" t="s">
        <v>17</v>
      </c>
      <c r="P31">
        <v>25</v>
      </c>
      <c r="Q31" t="s">
        <v>143</v>
      </c>
    </row>
    <row r="32" spans="1:17" x14ac:dyDescent="0.25">
      <c r="A32" t="s">
        <v>144</v>
      </c>
      <c r="C32" t="s">
        <v>85</v>
      </c>
      <c r="D32" t="s">
        <v>29</v>
      </c>
      <c r="E32" t="s">
        <v>149</v>
      </c>
      <c r="F32" s="1">
        <v>45418.875</v>
      </c>
      <c r="G32" s="4" t="s">
        <v>15</v>
      </c>
      <c r="H32">
        <v>20312057191</v>
      </c>
      <c r="I32" t="s">
        <v>30</v>
      </c>
      <c r="J32" t="s">
        <v>16</v>
      </c>
      <c r="K32">
        <v>22333</v>
      </c>
      <c r="L32" t="s">
        <v>145</v>
      </c>
      <c r="M32" t="s">
        <v>31</v>
      </c>
      <c r="N32" t="s">
        <v>19</v>
      </c>
      <c r="O32" t="s">
        <v>17</v>
      </c>
      <c r="P32">
        <v>30</v>
      </c>
      <c r="Q32" t="s">
        <v>146</v>
      </c>
    </row>
    <row r="33" spans="6:6" x14ac:dyDescent="0.25">
      <c r="F33" s="1"/>
    </row>
    <row r="34" spans="6:6" x14ac:dyDescent="0.25">
      <c r="F34" s="1"/>
    </row>
    <row r="35" spans="6:6" x14ac:dyDescent="0.25">
      <c r="F35" s="1"/>
    </row>
    <row r="36" spans="6:6" x14ac:dyDescent="0.25">
      <c r="F36" s="1"/>
    </row>
    <row r="37" spans="6:6" x14ac:dyDescent="0.25">
      <c r="F37" s="1"/>
    </row>
    <row r="38" spans="6:6" x14ac:dyDescent="0.25">
      <c r="F38" s="1"/>
    </row>
    <row r="39" spans="6:6" x14ac:dyDescent="0.25">
      <c r="F39" s="1"/>
    </row>
    <row r="40" spans="6:6" x14ac:dyDescent="0.25">
      <c r="F40" s="1"/>
    </row>
    <row r="41" spans="6:6" x14ac:dyDescent="0.25">
      <c r="F41" s="1"/>
    </row>
    <row r="42" spans="6:6" x14ac:dyDescent="0.25">
      <c r="F42" s="1"/>
    </row>
    <row r="43" spans="6:6" x14ac:dyDescent="0.25">
      <c r="F43" s="1"/>
    </row>
    <row r="44" spans="6:6" x14ac:dyDescent="0.25">
      <c r="F44" s="1"/>
    </row>
    <row r="45" spans="6:6" x14ac:dyDescent="0.25">
      <c r="F45" s="1"/>
    </row>
    <row r="46" spans="6:6" x14ac:dyDescent="0.25">
      <c r="F46" s="1"/>
    </row>
    <row r="47" spans="6:6" x14ac:dyDescent="0.25">
      <c r="F47" s="1"/>
    </row>
    <row r="48" spans="6:6" x14ac:dyDescent="0.25">
      <c r="F48" s="1"/>
    </row>
    <row r="49" spans="6:6" x14ac:dyDescent="0.25">
      <c r="F49" s="1"/>
    </row>
    <row r="50" spans="6:6" x14ac:dyDescent="0.25">
      <c r="F50" s="1"/>
    </row>
    <row r="51" spans="6:6" x14ac:dyDescent="0.25">
      <c r="F51" s="1"/>
    </row>
    <row r="52" spans="6:6" x14ac:dyDescent="0.25">
      <c r="F52" s="1"/>
    </row>
    <row r="53" spans="6:6" x14ac:dyDescent="0.25">
      <c r="F53" s="1"/>
    </row>
    <row r="54" spans="6:6" x14ac:dyDescent="0.25">
      <c r="F54" s="1"/>
    </row>
    <row r="55" spans="6:6" x14ac:dyDescent="0.25">
      <c r="F55" s="1"/>
    </row>
    <row r="56" spans="6:6" x14ac:dyDescent="0.25">
      <c r="F56" s="1"/>
    </row>
    <row r="57" spans="6:6" x14ac:dyDescent="0.25">
      <c r="F57" s="1"/>
    </row>
    <row r="58" spans="6:6" x14ac:dyDescent="0.25">
      <c r="F58" s="1"/>
    </row>
    <row r="59" spans="6:6" x14ac:dyDescent="0.25">
      <c r="F59" s="1"/>
    </row>
    <row r="60" spans="6:6" x14ac:dyDescent="0.25">
      <c r="F60" s="1"/>
    </row>
    <row r="61" spans="6:6" x14ac:dyDescent="0.25">
      <c r="F61" s="1"/>
    </row>
    <row r="62" spans="6:6" x14ac:dyDescent="0.25">
      <c r="F62" s="1"/>
    </row>
    <row r="63" spans="6:6" x14ac:dyDescent="0.25">
      <c r="F63" s="1"/>
    </row>
    <row r="64" spans="6:6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boBox4">
          <controlPr defaultSize="0" autoLine="0" autoPict="0" r:id="rId5">
            <anchor moveWithCells="1">
              <from>
                <xdr:col>6</xdr:col>
                <xdr:colOff>942975</xdr:colOff>
                <xdr:row>4</xdr:row>
                <xdr:rowOff>66675</xdr:rowOff>
              </from>
              <to>
                <xdr:col>8</xdr:col>
                <xdr:colOff>495300</xdr:colOff>
                <xdr:row>6</xdr:row>
                <xdr:rowOff>38100</xdr:rowOff>
              </to>
            </anchor>
          </controlPr>
        </control>
      </mc:Choice>
      <mc:Fallback>
        <control shapeId="1037" r:id="rId4" name="ComboBox4"/>
      </mc:Fallback>
    </mc:AlternateContent>
    <mc:AlternateContent xmlns:mc="http://schemas.openxmlformats.org/markup-compatibility/2006">
      <mc:Choice Requires="x14">
        <control shapeId="1035" r:id="rId6" name="ComboBox3">
          <controlPr defaultSize="0" autoLine="0" r:id="rId7">
            <anchor moveWithCells="1">
              <from>
                <xdr:col>4</xdr:col>
                <xdr:colOff>657225</xdr:colOff>
                <xdr:row>4</xdr:row>
                <xdr:rowOff>66675</xdr:rowOff>
              </from>
              <to>
                <xdr:col>6</xdr:col>
                <xdr:colOff>762000</xdr:colOff>
                <xdr:row>6</xdr:row>
                <xdr:rowOff>85725</xdr:rowOff>
              </to>
            </anchor>
          </controlPr>
        </control>
      </mc:Choice>
      <mc:Fallback>
        <control shapeId="1035" r:id="rId6" name="ComboBox3"/>
      </mc:Fallback>
    </mc:AlternateContent>
    <mc:AlternateContent xmlns:mc="http://schemas.openxmlformats.org/markup-compatibility/2006">
      <mc:Choice Requires="x14">
        <control shapeId="1034" r:id="rId8" name="ComboBox1">
          <controlPr defaultSize="0" autoLine="0" r:id="rId9">
            <anchor moveWithCells="1">
              <from>
                <xdr:col>0</xdr:col>
                <xdr:colOff>28575</xdr:colOff>
                <xdr:row>4</xdr:row>
                <xdr:rowOff>57150</xdr:rowOff>
              </from>
              <to>
                <xdr:col>3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034" r:id="rId8" name="ComboBox1"/>
      </mc:Fallback>
    </mc:AlternateContent>
    <mc:AlternateContent xmlns:mc="http://schemas.openxmlformats.org/markup-compatibility/2006">
      <mc:Choice Requires="x14">
        <control shapeId="1033" r:id="rId10" name="ComboBox2">
          <controlPr defaultSize="0" autoLine="0" r:id="rId11">
            <anchor moveWithCells="1">
              <from>
                <xdr:col>3</xdr:col>
                <xdr:colOff>209550</xdr:colOff>
                <xdr:row>4</xdr:row>
                <xdr:rowOff>85725</xdr:rowOff>
              </from>
              <to>
                <xdr:col>4</xdr:col>
                <xdr:colOff>466725</xdr:colOff>
                <xdr:row>6</xdr:row>
                <xdr:rowOff>57150</xdr:rowOff>
              </to>
            </anchor>
          </controlPr>
        </control>
      </mc:Choice>
      <mc:Fallback>
        <control shapeId="1033" r:id="rId10" name="ComboBox2"/>
      </mc:Fallback>
    </mc:AlternateContent>
    <mc:AlternateContent xmlns:mc="http://schemas.openxmlformats.org/markup-compatibility/2006">
      <mc:Choice Requires="x14">
        <control shapeId="1039" r:id="rId12" name="ComboBox5">
          <controlPr defaultSize="0" autoLine="0" r:id="rId13">
            <anchor moveWithCells="1">
              <from>
                <xdr:col>0</xdr:col>
                <xdr:colOff>752475</xdr:colOff>
                <xdr:row>0</xdr:row>
                <xdr:rowOff>0</xdr:rowOff>
              </from>
              <to>
                <xdr:col>3</xdr:col>
                <xdr:colOff>457200</xdr:colOff>
                <xdr:row>1</xdr:row>
                <xdr:rowOff>47625</xdr:rowOff>
              </to>
            </anchor>
          </controlPr>
        </control>
      </mc:Choice>
      <mc:Fallback>
        <control shapeId="1039" r:id="rId12" name="ComboBox5"/>
      </mc:Fallback>
    </mc:AlternateContent>
    <mc:AlternateContent xmlns:mc="http://schemas.openxmlformats.org/markup-compatibility/2006">
      <mc:Choice Requires="x14">
        <control shapeId="1038" r:id="rId14" name="Button 14">
          <controlPr defaultSize="0" print="0" autoFill="0" autoPict="0" macro="[0]!ObtenerRegistros">
            <anchor moveWithCells="1" sizeWithCells="1">
              <from>
                <xdr:col>8</xdr:col>
                <xdr:colOff>819150</xdr:colOff>
                <xdr:row>1</xdr:row>
                <xdr:rowOff>123825</xdr:rowOff>
              </from>
              <to>
                <xdr:col>9</xdr:col>
                <xdr:colOff>352425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5" name="Button 16">
          <controlPr defaultSize="0" print="0" autoFill="0" autoPict="0" macro="[0]!GenerarReportesConPlantilla">
            <anchor moveWithCells="1" sizeWithCells="1">
              <from>
                <xdr:col>8</xdr:col>
                <xdr:colOff>800100</xdr:colOff>
                <xdr:row>4</xdr:row>
                <xdr:rowOff>28575</xdr:rowOff>
              </from>
              <to>
                <xdr:col>9</xdr:col>
                <xdr:colOff>352425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6" name="Button 17">
          <controlPr defaultSize="0" print="0" autoFill="0" autoPict="0" macro="[0]!GenerarReportesConPlantillaTOTAL">
            <anchor moveWithCells="1" sizeWithCells="1">
              <from>
                <xdr:col>9</xdr:col>
                <xdr:colOff>590550</xdr:colOff>
                <xdr:row>1</xdr:row>
                <xdr:rowOff>85725</xdr:rowOff>
              </from>
              <to>
                <xdr:col>10</xdr:col>
                <xdr:colOff>971550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7" name="Button 18">
          <controlPr defaultSize="0" print="0" autoFill="0" autoPict="0" macro="[0]!CargarTablasDesdeSQL">
            <anchor moveWithCells="1" sizeWithCells="1">
              <from>
                <xdr:col>3</xdr:col>
                <xdr:colOff>523875</xdr:colOff>
                <xdr:row>0</xdr:row>
                <xdr:rowOff>9525</xdr:rowOff>
              </from>
              <to>
                <xdr:col>4</xdr:col>
                <xdr:colOff>581025</xdr:colOff>
                <xdr:row>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8" name="Button 19">
          <controlPr defaultSize="0" print="0" autoFill="0" autoPict="0" macro="[0]!renombrarReportes">
            <anchor moveWithCells="1" sizeWithCells="1">
              <from>
                <xdr:col>8</xdr:col>
                <xdr:colOff>819150</xdr:colOff>
                <xdr:row>6</xdr:row>
                <xdr:rowOff>152400</xdr:rowOff>
              </from>
              <to>
                <xdr:col>10</xdr:col>
                <xdr:colOff>962025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DDA8C-BDDB-44CC-9713-A9A7E6BA5C30}">
  <sheetPr codeName="Hoja2"/>
  <dimension ref="A1:N45"/>
  <sheetViews>
    <sheetView topLeftCell="A6" workbookViewId="0">
      <selection activeCell="J6" sqref="J6:L6"/>
    </sheetView>
  </sheetViews>
  <sheetFormatPr baseColWidth="10" defaultRowHeight="15" x14ac:dyDescent="0.25"/>
  <cols>
    <col min="1" max="1" width="4.28515625" customWidth="1"/>
    <col min="4" max="4" width="16.140625" customWidth="1"/>
    <col min="7" max="7" width="17.85546875" customWidth="1"/>
    <col min="8" max="8" width="20.7109375" customWidth="1"/>
    <col min="9" max="9" width="18.28515625" customWidth="1"/>
  </cols>
  <sheetData>
    <row r="1" spans="1:14" x14ac:dyDescent="0.25">
      <c r="A1" s="8"/>
      <c r="B1" s="66"/>
      <c r="C1" s="66"/>
      <c r="D1" s="66"/>
      <c r="E1" s="67" t="s">
        <v>80</v>
      </c>
      <c r="F1" s="68"/>
      <c r="G1" s="68"/>
      <c r="H1" s="69"/>
      <c r="I1" s="44" t="s">
        <v>79</v>
      </c>
      <c r="J1" s="76" t="s">
        <v>78</v>
      </c>
      <c r="K1" s="77"/>
      <c r="L1" s="78"/>
      <c r="N1" s="43">
        <f>COUNTA(#REF!)</f>
        <v>1</v>
      </c>
    </row>
    <row r="2" spans="1:14" x14ac:dyDescent="0.25">
      <c r="A2" s="8"/>
      <c r="B2" s="66"/>
      <c r="C2" s="66"/>
      <c r="D2" s="66"/>
      <c r="E2" s="70"/>
      <c r="F2" s="71"/>
      <c r="G2" s="71"/>
      <c r="H2" s="72"/>
      <c r="I2" s="42" t="s">
        <v>77</v>
      </c>
      <c r="J2" s="79">
        <f ca="1">TODAY()</f>
        <v>45536</v>
      </c>
      <c r="K2" s="80"/>
      <c r="L2" s="81"/>
    </row>
    <row r="3" spans="1:14" x14ac:dyDescent="0.25">
      <c r="A3" s="8"/>
      <c r="B3" s="66"/>
      <c r="C3" s="66"/>
      <c r="D3" s="66"/>
      <c r="E3" s="73"/>
      <c r="F3" s="74"/>
      <c r="G3" s="74"/>
      <c r="H3" s="75"/>
      <c r="I3" s="42" t="s">
        <v>76</v>
      </c>
      <c r="J3" s="82" t="str">
        <f>CONCATENATE("1 de ",IF(N1&lt;=26,"1",IF(AND(N1&gt;26,N1&lt;=52),"2","3")))</f>
        <v>1 de 1</v>
      </c>
      <c r="K3" s="83"/>
      <c r="L3" s="84"/>
    </row>
    <row r="4" spans="1:14" ht="18.75" x14ac:dyDescent="0.25">
      <c r="A4" s="8"/>
      <c r="B4" s="41"/>
      <c r="C4" s="41"/>
      <c r="D4" s="41"/>
      <c r="E4" s="40"/>
      <c r="F4" s="40"/>
      <c r="G4" s="40"/>
      <c r="H4" s="40"/>
      <c r="I4" s="40"/>
      <c r="J4" s="39"/>
      <c r="K4" s="39"/>
      <c r="L4" s="38"/>
    </row>
    <row r="5" spans="1:14" x14ac:dyDescent="0.25">
      <c r="A5" s="8"/>
      <c r="B5" s="32"/>
      <c r="D5" s="37" t="s">
        <v>75</v>
      </c>
      <c r="E5" s="62"/>
      <c r="F5" s="63"/>
      <c r="G5" s="64"/>
      <c r="H5" s="36" t="s">
        <v>74</v>
      </c>
      <c r="I5" s="33" t="s">
        <v>73</v>
      </c>
      <c r="J5" s="62"/>
      <c r="K5" s="63"/>
      <c r="L5" s="64"/>
    </row>
    <row r="6" spans="1:14" x14ac:dyDescent="0.25">
      <c r="A6" s="8"/>
      <c r="B6" s="32"/>
      <c r="D6" s="35" t="s">
        <v>72</v>
      </c>
      <c r="E6" s="58">
        <f ca="1">TODAY()</f>
        <v>45536</v>
      </c>
      <c r="F6" s="59"/>
      <c r="G6" s="60"/>
      <c r="H6" s="34">
        <f>SUBTOTAL(5,C10:C35)</f>
        <v>0</v>
      </c>
      <c r="I6" s="33" t="s">
        <v>81</v>
      </c>
      <c r="J6" s="61"/>
      <c r="K6" s="61"/>
      <c r="L6" s="61"/>
    </row>
    <row r="7" spans="1:14" x14ac:dyDescent="0.25">
      <c r="A7" s="8"/>
      <c r="B7" s="32"/>
      <c r="D7" s="33" t="s">
        <v>71</v>
      </c>
      <c r="E7" s="62"/>
      <c r="F7" s="63"/>
      <c r="G7" s="64"/>
      <c r="H7" s="34">
        <f>SUBTOTAL(4,C10:C266)</f>
        <v>0</v>
      </c>
      <c r="I7" s="33" t="s">
        <v>70</v>
      </c>
      <c r="J7" s="65">
        <v>42010100</v>
      </c>
      <c r="K7" s="65"/>
      <c r="L7" s="65"/>
    </row>
    <row r="8" spans="1:14" ht="15.75" thickBot="1" x14ac:dyDescent="0.3">
      <c r="A8" s="8"/>
      <c r="B8" s="32"/>
      <c r="C8" s="32"/>
      <c r="D8" s="32"/>
      <c r="E8" s="32"/>
      <c r="F8" s="32"/>
      <c r="G8" s="32"/>
      <c r="H8" s="32"/>
      <c r="I8" s="31"/>
      <c r="J8" s="30"/>
      <c r="K8" s="29"/>
      <c r="L8" s="28"/>
      <c r="M8" s="28"/>
    </row>
    <row r="9" spans="1:14" ht="26.25" thickBot="1" x14ac:dyDescent="0.3">
      <c r="A9" s="27"/>
      <c r="B9" s="24" t="s">
        <v>69</v>
      </c>
      <c r="C9" s="23" t="s">
        <v>68</v>
      </c>
      <c r="D9" s="23" t="s">
        <v>67</v>
      </c>
      <c r="E9" s="26" t="s">
        <v>66</v>
      </c>
      <c r="F9" s="23" t="s">
        <v>65</v>
      </c>
      <c r="G9" s="24" t="s">
        <v>64</v>
      </c>
      <c r="H9" s="25" t="s">
        <v>63</v>
      </c>
      <c r="I9" s="24" t="s">
        <v>62</v>
      </c>
      <c r="J9" s="23" t="s">
        <v>61</v>
      </c>
      <c r="K9" s="22" t="s">
        <v>13</v>
      </c>
      <c r="L9" s="21" t="s">
        <v>60</v>
      </c>
    </row>
    <row r="10" spans="1:14" x14ac:dyDescent="0.25">
      <c r="A10" s="8"/>
      <c r="B10" s="19">
        <v>1</v>
      </c>
      <c r="C10" s="45"/>
      <c r="D10" s="46"/>
      <c r="E10" s="46"/>
      <c r="F10" s="46"/>
      <c r="G10" s="47"/>
      <c r="H10" s="47"/>
      <c r="I10" s="47"/>
      <c r="J10" s="47"/>
      <c r="K10" s="46"/>
      <c r="L10" s="18"/>
      <c r="M10" s="20"/>
    </row>
    <row r="11" spans="1:14" x14ac:dyDescent="0.25">
      <c r="A11" s="8"/>
      <c r="B11" s="19">
        <v>2</v>
      </c>
      <c r="C11" s="45"/>
      <c r="D11" s="46"/>
      <c r="E11" s="46"/>
      <c r="F11" s="46"/>
      <c r="G11" s="47"/>
      <c r="H11" s="47"/>
      <c r="I11" s="47"/>
      <c r="J11" s="47"/>
      <c r="K11" s="46"/>
      <c r="L11" s="18"/>
      <c r="M11" s="20"/>
    </row>
    <row r="12" spans="1:14" x14ac:dyDescent="0.25">
      <c r="A12" s="8"/>
      <c r="B12" s="19">
        <v>3</v>
      </c>
      <c r="C12" s="45"/>
      <c r="D12" s="46"/>
      <c r="E12" s="46"/>
      <c r="F12" s="46"/>
      <c r="G12" s="47"/>
      <c r="H12" s="47"/>
      <c r="I12" s="47"/>
      <c r="J12" s="47"/>
      <c r="K12" s="46"/>
      <c r="L12" s="18"/>
      <c r="M12" s="20"/>
    </row>
    <row r="13" spans="1:14" x14ac:dyDescent="0.25">
      <c r="A13" s="8"/>
      <c r="B13" s="19">
        <v>4</v>
      </c>
      <c r="C13" s="45"/>
      <c r="D13" s="46"/>
      <c r="E13" s="46"/>
      <c r="F13" s="46"/>
      <c r="G13" s="47"/>
      <c r="H13" s="47"/>
      <c r="I13" s="47"/>
      <c r="J13" s="47"/>
      <c r="K13" s="46"/>
      <c r="L13" s="18"/>
      <c r="M13" s="20"/>
    </row>
    <row r="14" spans="1:14" x14ac:dyDescent="0.25">
      <c r="A14" s="8"/>
      <c r="B14" s="19">
        <v>5</v>
      </c>
      <c r="C14" s="45"/>
      <c r="D14" s="46"/>
      <c r="E14" s="46"/>
      <c r="F14" s="46"/>
      <c r="G14" s="47"/>
      <c r="H14" s="47"/>
      <c r="I14" s="47"/>
      <c r="J14" s="47"/>
      <c r="K14" s="46"/>
      <c r="L14" s="18"/>
      <c r="M14" s="20"/>
    </row>
    <row r="15" spans="1:14" x14ac:dyDescent="0.25">
      <c r="A15" s="8"/>
      <c r="B15" s="19">
        <v>6</v>
      </c>
      <c r="C15" s="45"/>
      <c r="D15" s="46"/>
      <c r="E15" s="46"/>
      <c r="F15" s="46"/>
      <c r="G15" s="47"/>
      <c r="H15" s="47"/>
      <c r="I15" s="47"/>
      <c r="J15" s="47"/>
      <c r="K15" s="46"/>
      <c r="L15" s="18"/>
      <c r="M15" s="20"/>
    </row>
    <row r="16" spans="1:14" x14ac:dyDescent="0.25">
      <c r="A16" s="8"/>
      <c r="B16" s="19">
        <v>7</v>
      </c>
      <c r="C16" s="45"/>
      <c r="D16" s="46"/>
      <c r="E16" s="46"/>
      <c r="F16" s="46"/>
      <c r="G16" s="47"/>
      <c r="H16" s="47"/>
      <c r="I16" s="47"/>
      <c r="J16" s="47"/>
      <c r="K16" s="46"/>
      <c r="L16" s="18"/>
      <c r="M16" s="20"/>
    </row>
    <row r="17" spans="1:13" x14ac:dyDescent="0.25">
      <c r="A17" s="8"/>
      <c r="B17" s="19">
        <v>8</v>
      </c>
      <c r="C17" s="45"/>
      <c r="D17" s="46"/>
      <c r="E17" s="46"/>
      <c r="F17" s="46"/>
      <c r="G17" s="47"/>
      <c r="H17" s="47"/>
      <c r="I17" s="47"/>
      <c r="J17" s="47"/>
      <c r="K17" s="46"/>
      <c r="L17" s="18"/>
      <c r="M17" s="20"/>
    </row>
    <row r="18" spans="1:13" x14ac:dyDescent="0.25">
      <c r="A18" s="8"/>
      <c r="B18" s="19">
        <v>9</v>
      </c>
      <c r="C18" s="45"/>
      <c r="D18" s="46"/>
      <c r="E18" s="46"/>
      <c r="F18" s="46"/>
      <c r="G18" s="47"/>
      <c r="H18" s="47"/>
      <c r="I18" s="47"/>
      <c r="J18" s="47"/>
      <c r="K18" s="46"/>
      <c r="L18" s="18"/>
      <c r="M18" s="20"/>
    </row>
    <row r="19" spans="1:13" x14ac:dyDescent="0.25">
      <c r="A19" s="8"/>
      <c r="B19" s="19">
        <v>10</v>
      </c>
      <c r="C19" s="45"/>
      <c r="D19" s="46"/>
      <c r="E19" s="46"/>
      <c r="F19" s="46"/>
      <c r="G19" s="47"/>
      <c r="H19" s="47"/>
      <c r="I19" s="47"/>
      <c r="J19" s="47"/>
      <c r="K19" s="46"/>
      <c r="L19" s="18"/>
      <c r="M19" s="20"/>
    </row>
    <row r="20" spans="1:13" x14ac:dyDescent="0.25">
      <c r="A20" s="8"/>
      <c r="B20" s="19">
        <v>11</v>
      </c>
      <c r="C20" s="45"/>
      <c r="D20" s="46"/>
      <c r="E20" s="46"/>
      <c r="F20" s="46"/>
      <c r="G20" s="47"/>
      <c r="H20" s="47"/>
      <c r="I20" s="47"/>
      <c r="J20" s="47"/>
      <c r="K20" s="46"/>
      <c r="L20" s="18"/>
      <c r="M20" s="20"/>
    </row>
    <row r="21" spans="1:13" x14ac:dyDescent="0.25">
      <c r="A21" s="8"/>
      <c r="B21" s="19">
        <v>12</v>
      </c>
      <c r="C21" s="45"/>
      <c r="D21" s="46"/>
      <c r="E21" s="46"/>
      <c r="F21" s="46"/>
      <c r="G21" s="47"/>
      <c r="H21" s="47"/>
      <c r="I21" s="47"/>
      <c r="J21" s="47"/>
      <c r="K21" s="46"/>
      <c r="L21" s="18"/>
      <c r="M21" s="20"/>
    </row>
    <row r="22" spans="1:13" x14ac:dyDescent="0.25">
      <c r="A22" s="8"/>
      <c r="B22" s="19">
        <v>13</v>
      </c>
      <c r="C22" s="45"/>
      <c r="D22" s="46"/>
      <c r="E22" s="46"/>
      <c r="F22" s="46"/>
      <c r="G22" s="47"/>
      <c r="H22" s="47"/>
      <c r="I22" s="47"/>
      <c r="J22" s="47"/>
      <c r="K22" s="46"/>
      <c r="L22" s="18"/>
      <c r="M22" s="20"/>
    </row>
    <row r="23" spans="1:13" x14ac:dyDescent="0.25">
      <c r="A23" s="8"/>
      <c r="B23" s="19">
        <v>14</v>
      </c>
      <c r="C23" s="45"/>
      <c r="D23" s="46"/>
      <c r="E23" s="46"/>
      <c r="F23" s="46"/>
      <c r="G23" s="47"/>
      <c r="H23" s="47"/>
      <c r="I23" s="47"/>
      <c r="J23" s="47"/>
      <c r="K23" s="46"/>
      <c r="L23" s="18"/>
      <c r="M23" s="20"/>
    </row>
    <row r="24" spans="1:13" x14ac:dyDescent="0.25">
      <c r="A24" s="8"/>
      <c r="B24" s="19">
        <v>15</v>
      </c>
      <c r="C24" s="45"/>
      <c r="D24" s="46"/>
      <c r="E24" s="46"/>
      <c r="F24" s="46"/>
      <c r="G24" s="47"/>
      <c r="H24" s="47"/>
      <c r="I24" s="47"/>
      <c r="J24" s="47"/>
      <c r="K24" s="46"/>
      <c r="L24" s="18"/>
      <c r="M24" s="20"/>
    </row>
    <row r="25" spans="1:13" x14ac:dyDescent="0.25">
      <c r="A25" s="8"/>
      <c r="B25" s="19">
        <v>16</v>
      </c>
      <c r="C25" s="45"/>
      <c r="D25" s="46"/>
      <c r="E25" s="46"/>
      <c r="F25" s="46"/>
      <c r="G25" s="47"/>
      <c r="H25" s="47"/>
      <c r="I25" s="47"/>
      <c r="J25" s="47"/>
      <c r="K25" s="46"/>
      <c r="L25" s="18"/>
      <c r="M25" s="20"/>
    </row>
    <row r="26" spans="1:13" x14ac:dyDescent="0.25">
      <c r="A26" s="8"/>
      <c r="B26" s="19">
        <v>17</v>
      </c>
      <c r="C26" s="45"/>
      <c r="D26" s="46"/>
      <c r="E26" s="46"/>
      <c r="F26" s="46"/>
      <c r="G26" s="47"/>
      <c r="H26" s="47"/>
      <c r="I26" s="47"/>
      <c r="J26" s="47"/>
      <c r="K26" s="46"/>
      <c r="L26" s="18"/>
      <c r="M26" s="20"/>
    </row>
    <row r="27" spans="1:13" x14ac:dyDescent="0.25">
      <c r="A27" s="8"/>
      <c r="B27" s="19">
        <v>18</v>
      </c>
      <c r="C27" s="45"/>
      <c r="D27" s="46"/>
      <c r="E27" s="46"/>
      <c r="F27" s="46"/>
      <c r="G27" s="47"/>
      <c r="H27" s="47"/>
      <c r="I27" s="47"/>
      <c r="J27" s="47"/>
      <c r="K27" s="46"/>
      <c r="L27" s="18"/>
      <c r="M27" s="20"/>
    </row>
    <row r="28" spans="1:13" x14ac:dyDescent="0.25">
      <c r="A28" s="8"/>
      <c r="B28" s="19">
        <v>19</v>
      </c>
      <c r="C28" s="45"/>
      <c r="D28" s="46"/>
      <c r="E28" s="46"/>
      <c r="F28" s="46"/>
      <c r="G28" s="47"/>
      <c r="H28" s="47"/>
      <c r="I28" s="47"/>
      <c r="J28" s="47"/>
      <c r="K28" s="46"/>
      <c r="L28" s="18"/>
      <c r="M28" s="20"/>
    </row>
    <row r="29" spans="1:13" x14ac:dyDescent="0.25">
      <c r="A29" s="8"/>
      <c r="B29" s="19">
        <v>20</v>
      </c>
      <c r="C29" s="45"/>
      <c r="D29" s="46"/>
      <c r="E29" s="46"/>
      <c r="F29" s="46"/>
      <c r="G29" s="47"/>
      <c r="H29" s="47"/>
      <c r="I29" s="47"/>
      <c r="J29" s="47"/>
      <c r="K29" s="46"/>
      <c r="L29" s="18"/>
      <c r="M29" s="20"/>
    </row>
    <row r="30" spans="1:13" x14ac:dyDescent="0.25">
      <c r="A30" s="8"/>
      <c r="B30" s="19">
        <v>21</v>
      </c>
      <c r="C30" s="45"/>
      <c r="D30" s="46"/>
      <c r="E30" s="46"/>
      <c r="F30" s="46"/>
      <c r="G30" s="47"/>
      <c r="H30" s="47"/>
      <c r="I30" s="47"/>
      <c r="J30" s="47"/>
      <c r="K30" s="46"/>
      <c r="L30" s="18"/>
      <c r="M30" s="20"/>
    </row>
    <row r="31" spans="1:13" x14ac:dyDescent="0.25">
      <c r="A31" s="8"/>
      <c r="B31" s="19">
        <v>22</v>
      </c>
      <c r="C31" s="45"/>
      <c r="D31" s="46"/>
      <c r="E31" s="46"/>
      <c r="F31" s="46"/>
      <c r="G31" s="47"/>
      <c r="H31" s="47"/>
      <c r="I31" s="47"/>
      <c r="J31" s="47"/>
      <c r="K31" s="46"/>
      <c r="L31" s="18"/>
      <c r="M31" s="20"/>
    </row>
    <row r="32" spans="1:13" x14ac:dyDescent="0.25">
      <c r="A32" s="8"/>
      <c r="B32" s="19">
        <v>23</v>
      </c>
      <c r="C32" s="45"/>
      <c r="D32" s="46"/>
      <c r="E32" s="46"/>
      <c r="F32" s="46"/>
      <c r="G32" s="47"/>
      <c r="H32" s="47"/>
      <c r="I32" s="47"/>
      <c r="J32" s="47"/>
      <c r="K32" s="46"/>
      <c r="L32" s="18"/>
      <c r="M32" s="20"/>
    </row>
    <row r="33" spans="1:13" x14ac:dyDescent="0.25">
      <c r="A33" s="8"/>
      <c r="B33" s="19">
        <v>24</v>
      </c>
      <c r="C33" s="45"/>
      <c r="D33" s="46"/>
      <c r="E33" s="46"/>
      <c r="F33" s="46"/>
      <c r="G33" s="47"/>
      <c r="H33" s="47"/>
      <c r="I33" s="47"/>
      <c r="J33" s="47"/>
      <c r="K33" s="46"/>
      <c r="L33" s="18"/>
      <c r="M33" s="20"/>
    </row>
    <row r="34" spans="1:13" x14ac:dyDescent="0.25">
      <c r="A34" s="8"/>
      <c r="B34" s="19">
        <v>25</v>
      </c>
      <c r="C34" s="45"/>
      <c r="D34" s="46"/>
      <c r="E34" s="46"/>
      <c r="F34" s="46"/>
      <c r="G34" s="47"/>
      <c r="H34" s="47"/>
      <c r="I34" s="47"/>
      <c r="J34" s="47"/>
      <c r="K34" s="46"/>
      <c r="L34" s="18"/>
    </row>
    <row r="35" spans="1:13" x14ac:dyDescent="0.25">
      <c r="A35" s="8"/>
      <c r="B35" s="19">
        <v>26</v>
      </c>
      <c r="C35" s="45"/>
      <c r="D35" s="46"/>
      <c r="E35" s="46"/>
      <c r="F35" s="46"/>
      <c r="G35" s="47"/>
      <c r="H35" s="47"/>
      <c r="I35" s="47"/>
      <c r="J35" s="47"/>
      <c r="K35" s="46"/>
      <c r="L35" s="18"/>
    </row>
    <row r="36" spans="1:13" x14ac:dyDescent="0.25">
      <c r="A36" s="8"/>
    </row>
    <row r="37" spans="1:13" x14ac:dyDescent="0.25">
      <c r="A37" s="8"/>
      <c r="K37" s="11" t="s">
        <v>59</v>
      </c>
      <c r="L37" s="10">
        <f>SUBTOTAL(9,L10:L35)</f>
        <v>0</v>
      </c>
    </row>
    <row r="38" spans="1:13" x14ac:dyDescent="0.25">
      <c r="A38" s="8"/>
      <c r="K38" s="17"/>
      <c r="L38" s="16"/>
    </row>
    <row r="39" spans="1:13" x14ac:dyDescent="0.25">
      <c r="A39" s="8"/>
      <c r="K39" s="11" t="s">
        <v>58</v>
      </c>
      <c r="L39" s="10"/>
    </row>
    <row r="40" spans="1:13" ht="15.75" thickBot="1" x14ac:dyDescent="0.3">
      <c r="A40" s="8"/>
      <c r="C40" s="14"/>
      <c r="D40" s="15"/>
      <c r="E40" s="14"/>
      <c r="H40" s="14"/>
      <c r="K40" s="13" t="s">
        <v>57</v>
      </c>
      <c r="L40" s="10">
        <v>0</v>
      </c>
    </row>
    <row r="41" spans="1:13" x14ac:dyDescent="0.25">
      <c r="A41" s="8"/>
      <c r="D41" t="s">
        <v>56</v>
      </c>
      <c r="H41" t="s">
        <v>55</v>
      </c>
      <c r="K41" s="13" t="s">
        <v>54</v>
      </c>
      <c r="L41" s="10">
        <v>0</v>
      </c>
    </row>
    <row r="42" spans="1:13" x14ac:dyDescent="0.25">
      <c r="A42" s="8"/>
      <c r="K42" s="11" t="s">
        <v>53</v>
      </c>
      <c r="L42" s="10">
        <v>0</v>
      </c>
    </row>
    <row r="43" spans="1:13" x14ac:dyDescent="0.25">
      <c r="A43" s="8"/>
      <c r="K43" s="11"/>
      <c r="L43" s="12"/>
    </row>
    <row r="44" spans="1:13" x14ac:dyDescent="0.25">
      <c r="A44" s="8"/>
      <c r="K44" s="11" t="s">
        <v>52</v>
      </c>
      <c r="L44" s="10"/>
    </row>
    <row r="45" spans="1:13" x14ac:dyDescent="0.25">
      <c r="A45" s="8"/>
      <c r="K45" s="9"/>
    </row>
  </sheetData>
  <mergeCells count="11">
    <mergeCell ref="E6:G6"/>
    <mergeCell ref="J6:L6"/>
    <mergeCell ref="E7:G7"/>
    <mergeCell ref="J7:L7"/>
    <mergeCell ref="B1:D3"/>
    <mergeCell ref="E1:H3"/>
    <mergeCell ref="J1:L1"/>
    <mergeCell ref="J2:L2"/>
    <mergeCell ref="J3:L3"/>
    <mergeCell ref="E5:G5"/>
    <mergeCell ref="J5:L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</dc:creator>
  <cp:lastModifiedBy>ALUMNO - BRYAN NICOLA FLORES GARCIA</cp:lastModifiedBy>
  <cp:lastPrinted>2024-02-28T16:23:17Z</cp:lastPrinted>
  <dcterms:created xsi:type="dcterms:W3CDTF">2023-12-22T14:33:27Z</dcterms:created>
  <dcterms:modified xsi:type="dcterms:W3CDTF">2024-09-02T02:59:43Z</dcterms:modified>
</cp:coreProperties>
</file>